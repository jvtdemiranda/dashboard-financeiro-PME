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Dados" sheetId="2" state="visible" r:id="rId2"/>
    <sheet name="Fluxo Mensal" sheetId="3" state="visible" r:id="rId3"/>
    <sheet name="Contas a Pagar e Receber" sheetId="4" state="visible" r:id="rId4"/>
    <sheet name="DRE" sheetId="5" state="visible" r:id="rId5"/>
  </sheets>
  <definedNames>
    <definedName name="_xlnm.Print_Titles" localSheetId="1">'Dados'!$1:$1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/yyyy"/>
    <numFmt numFmtId="166" formatCode="&quot;R$&quot; #,##0.00"/>
    <numFmt numFmtId="167" formatCode="mmm/yyyy"/>
    <numFmt numFmtId="168" formatCode="0.0%"/>
  </numFmts>
  <fonts count="18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0B0B0B"/>
      <sz val="18"/>
    </font>
    <font>
      <name val="Calibri"/>
      <i val="1"/>
      <color rgb="0052514E"/>
      <sz val="10"/>
    </font>
    <font>
      <b val="1"/>
    </font>
    <font>
      <b val="1"/>
      <color rgb="000B0B0B"/>
      <sz val="11"/>
    </font>
    <font>
      <b val="1"/>
      <color rgb="00D03B3B"/>
    </font>
    <font>
      <b val="1"/>
      <color rgb="00FAB219"/>
    </font>
    <font>
      <b val="1"/>
      <color rgb="002A78D6"/>
    </font>
    <font>
      <b val="1"/>
      <color rgb="0052514E"/>
    </font>
    <font>
      <b val="1"/>
      <color rgb="00E34948"/>
    </font>
    <font>
      <b val="1"/>
      <sz val="12"/>
    </font>
    <font>
      <i val="1"/>
      <color rgb="0052514E"/>
    </font>
    <font>
      <color rgb="0052514E"/>
      <sz val="9"/>
    </font>
    <font>
      <b val="1"/>
      <color rgb="002A78D6"/>
      <sz val="18"/>
    </font>
    <font>
      <b val="1"/>
      <color rgb="00E34948"/>
      <sz val="18"/>
    </font>
    <font>
      <b val="1"/>
      <color rgb="000B0B0B"/>
      <sz val="18"/>
    </font>
    <font>
      <i val="1"/>
      <color rgb="00898781"/>
      <sz val="8"/>
    </font>
  </fonts>
  <fills count="6">
    <fill>
      <patternFill/>
    </fill>
    <fill>
      <patternFill patternType="gray125"/>
    </fill>
    <fill>
      <patternFill patternType="solid">
        <fgColor rgb="002A78D6"/>
        <bgColor rgb="002A78D6"/>
      </patternFill>
    </fill>
    <fill>
      <patternFill patternType="solid">
        <fgColor rgb="00F9F9F7"/>
        <bgColor rgb="00F9F9F7"/>
      </patternFill>
    </fill>
    <fill>
      <patternFill patternType="solid">
        <fgColor rgb="0052514E"/>
        <bgColor rgb="0052514E"/>
      </patternFill>
    </fill>
    <fill>
      <patternFill patternType="solid">
        <fgColor rgb="00FCFCFB"/>
        <bgColor rgb="00FCFCFB"/>
      </patternFill>
    </fill>
  </fills>
  <borders count="10">
    <border>
      <left/>
      <right/>
      <top/>
      <bottom/>
      <diagonal/>
    </border>
    <border>
      <top style="thin">
        <color rgb="00898781"/>
      </top>
    </border>
    <border>
      <left/>
      <right/>
      <top style="thin">
        <color rgb="00E1E0D9"/>
      </top>
      <bottom/>
    </border>
    <border>
      <left/>
      <right/>
      <top/>
      <bottom style="thin">
        <color rgb="00E1E0D9"/>
      </bottom>
    </border>
    <border>
      <left style="thin">
        <color rgb="00E1E0D9"/>
      </left>
      <right/>
      <top style="thin">
        <color rgb="00E1E0D9"/>
      </top>
      <bottom/>
    </border>
    <border>
      <left/>
      <right style="thin">
        <color rgb="00E1E0D9"/>
      </right>
      <top style="thin">
        <color rgb="00E1E0D9"/>
      </top>
      <bottom/>
    </border>
    <border>
      <left style="thin">
        <color rgb="00E1E0D9"/>
      </left>
      <right/>
      <top/>
      <bottom/>
    </border>
    <border>
      <left/>
      <right style="thin">
        <color rgb="00E1E0D9"/>
      </right>
      <top/>
      <bottom/>
    </border>
    <border>
      <left style="thin">
        <color rgb="00E1E0D9"/>
      </left>
      <right/>
      <top/>
      <bottom style="thin">
        <color rgb="00E1E0D9"/>
      </bottom>
    </border>
    <border>
      <left/>
      <right style="thin">
        <color rgb="00E1E0D9"/>
      </right>
      <top/>
      <bottom style="thin">
        <color rgb="00E1E0D9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2" fillId="3" borderId="0" pivotButton="0" quotePrefix="0" xfId="0"/>
    <xf numFmtId="0" fontId="0" fillId="3" borderId="0" pivotButton="0" quotePrefix="0" xfId="0"/>
    <xf numFmtId="0" fontId="3" fillId="3" borderId="0" pivotButton="0" quotePrefix="0" xfId="0"/>
    <xf numFmtId="0" fontId="13" fillId="5" borderId="4" pivotButton="0" quotePrefix="0" xfId="0"/>
    <xf numFmtId="0" fontId="0" fillId="5" borderId="2" pivotButton="0" quotePrefix="0" xfId="0"/>
    <xf numFmtId="0" fontId="0" fillId="5" borderId="5" pivotButton="0" quotePrefix="0" xfId="0"/>
    <xf numFmtId="166" fontId="14" fillId="5" borderId="8" pivotButton="0" quotePrefix="0" xfId="0"/>
    <xf numFmtId="0" fontId="0" fillId="5" borderId="3" pivotButton="0" quotePrefix="0" xfId="0"/>
    <xf numFmtId="0" fontId="0" fillId="5" borderId="9" pivotButton="0" quotePrefix="0" xfId="0"/>
    <xf numFmtId="166" fontId="15" fillId="5" borderId="8" pivotButton="0" quotePrefix="0" xfId="0"/>
    <xf numFmtId="166" fontId="16" fillId="5" borderId="8" pivotButton="0" quotePrefix="0" xfId="0"/>
    <xf numFmtId="0" fontId="5" fillId="0" borderId="0" pivotButton="0" quotePrefix="0" xfId="0"/>
    <xf numFmtId="0" fontId="17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0" fontId="4" fillId="0" borderId="1" pivotButton="0" quotePrefix="0" xfId="0"/>
    <xf numFmtId="166" fontId="4" fillId="0" borderId="1" pivotButton="0" quotePrefix="0" xfId="0"/>
    <xf numFmtId="0" fontId="0" fillId="0" borderId="1" pivotButton="0" quotePrefix="0" xfId="0"/>
    <xf numFmtId="0" fontId="0" fillId="0" borderId="4" pivotButton="0" quotePrefix="0" xfId="0"/>
    <xf numFmtId="0" fontId="1" fillId="2" borderId="2" applyAlignment="1" pivotButton="0" quotePrefix="0" xfId="0">
      <alignment horizontal="center" vertical="center"/>
    </xf>
    <xf numFmtId="0" fontId="1" fillId="2" borderId="5" applyAlignment="1" pivotButton="0" quotePrefix="0" xfId="0">
      <alignment horizontal="center" vertical="center"/>
    </xf>
    <xf numFmtId="0" fontId="0" fillId="0" borderId="6" pivotButton="0" quotePrefix="0" xfId="0"/>
    <xf numFmtId="166" fontId="4" fillId="0" borderId="7" pivotButton="0" quotePrefix="0" xfId="0"/>
    <xf numFmtId="0" fontId="4" fillId="0" borderId="8" pivotButton="0" quotePrefix="0" xfId="0"/>
    <xf numFmtId="0" fontId="0" fillId="0" borderId="3" pivotButton="0" quotePrefix="0" xfId="0"/>
    <xf numFmtId="166" fontId="4" fillId="0" borderId="9" pivotButton="0" quotePrefix="0" xfId="0"/>
    <xf numFmtId="0" fontId="1" fillId="4" borderId="0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pivotButton="0" quotePrefix="0" xfId="0"/>
    <xf numFmtId="0" fontId="4" fillId="0" borderId="0" pivotButton="0" quotePrefix="0" xfId="0"/>
    <xf numFmtId="166" fontId="8" fillId="0" borderId="0" pivotButton="0" quotePrefix="0" xfId="0"/>
    <xf numFmtId="0" fontId="9" fillId="0" borderId="0" pivotButton="0" quotePrefix="0" xfId="0"/>
    <xf numFmtId="166" fontId="10" fillId="0" borderId="1" pivotButton="0" quotePrefix="0" xfId="0"/>
    <xf numFmtId="0" fontId="11" fillId="0" borderId="0" pivotButton="0" quotePrefix="0" xfId="0"/>
    <xf numFmtId="166" fontId="11" fillId="0" borderId="0" pivotButton="0" quotePrefix="0" xfId="0"/>
    <xf numFmtId="0" fontId="12" fillId="0" borderId="0" pivotButton="0" quotePrefix="0" xfId="0"/>
    <xf numFmtId="168" fontId="12" fillId="0" borderId="0" pivotButton="0" quotePrefix="0" xfId="0"/>
  </cellXfs>
  <cellStyles count="1">
    <cellStyle name="Normal" xfId="0" builtinId="0" hidden="0"/>
  </cellStyles>
  <dxfs count="6">
    <dxf>
      <font>
        <color rgb="00D03B3B"/>
      </font>
    </dxf>
    <dxf>
      <font>
        <color rgb="00006300"/>
      </font>
    </dxf>
    <dxf>
      <font>
        <b val="1"/>
        <color rgb="00D03B3B"/>
      </font>
    </dxf>
    <dxf>
      <font>
        <b val="1"/>
        <color rgb="00006300"/>
      </font>
    </dxf>
    <dxf>
      <font>
        <b val="1"/>
        <color rgb="00D03B3B"/>
        <sz val="12"/>
      </font>
    </dxf>
    <dxf>
      <font>
        <b val="1"/>
        <color rgb="00006300"/>
        <sz val="12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0"/>
  <chart>
    <plotArea>
      <barChart>
        <barDir val="col"/>
        <grouping val="clustered"/>
        <ser>
          <idx val="0"/>
          <order val="0"/>
          <tx>
            <strRef>
              <f>'Fluxo Mensal'!B4</f>
              <strCache>
                <ptCount val="1"/>
                <pt idx="0">
                  <v>Entradas</v>
                </pt>
              </strCache>
            </strRef>
          </tx>
          <spPr>
            <a:solidFill>
              <a:srgbClr val="2A78D6"/>
            </a:solidFill>
            <a:ln>
              <a:prstDash val="solid"/>
            </a:ln>
          </spPr>
          <cat>
            <numRef>
              <f>'Fluxo Mensal'!$A$5:$A$11</f>
              <numCache>
                <formatCode>mmm/yyyy</formatCode>
                <ptCount val="7"/>
                <pt idx="0">
                  <v>46082</v>
                </pt>
                <pt idx="1">
                  <v>46113</v>
                </pt>
                <pt idx="2">
                  <v>46143</v>
                </pt>
                <pt idx="3">
                  <v>46174</v>
                </pt>
                <pt idx="4">
                  <v>46204</v>
                </pt>
                <pt idx="5">
                  <v>46235</v>
                </pt>
                <pt idx="6">
                  <v>46266</v>
                </pt>
              </numCache>
            </numRef>
          </cat>
          <val>
            <numRef>
              <f>'Fluxo Mensal'!$B$5:$B$11</f>
              <numCache>
                <formatCode>"R$" #,##0.00</formatCode>
                <ptCount val="7"/>
                <pt idx="0">
                  <v>0</v>
                </pt>
                <pt idx="1">
                  <v>17510.88</v>
                </pt>
                <pt idx="2">
                  <v>13227.69</v>
                </pt>
                <pt idx="3">
                  <v>10106.95</v>
                </pt>
                <pt idx="4">
                  <v>15254.72</v>
                </pt>
                <pt idx="5">
                  <v>14949.33</v>
                </pt>
                <pt idx="6">
                  <v>11926.98</v>
                </pt>
              </numCache>
            </numRef>
          </val>
        </ser>
        <ser>
          <idx val="1"/>
          <order val="1"/>
          <tx>
            <strRef>
              <f>'Fluxo Mensal'!C4</f>
              <strCache>
                <ptCount val="1"/>
                <pt idx="0">
                  <v>Saídas</v>
                </pt>
              </strCache>
            </strRef>
          </tx>
          <spPr>
            <a:solidFill>
              <a:srgbClr val="E34948"/>
            </a:solidFill>
            <a:ln>
              <a:prstDash val="solid"/>
            </a:ln>
          </spPr>
          <cat>
            <numRef>
              <f>'Fluxo Mensal'!$A$5:$A$11</f>
              <numCache>
                <formatCode>mmm/yyyy</formatCode>
                <ptCount val="7"/>
                <pt idx="0">
                  <v>46082</v>
                </pt>
                <pt idx="1">
                  <v>46113</v>
                </pt>
                <pt idx="2">
                  <v>46143</v>
                </pt>
                <pt idx="3">
                  <v>46174</v>
                </pt>
                <pt idx="4">
                  <v>46204</v>
                </pt>
                <pt idx="5">
                  <v>46235</v>
                </pt>
                <pt idx="6">
                  <v>46266</v>
                </pt>
              </numCache>
            </numRef>
          </cat>
          <val>
            <numRef>
              <f>'Fluxo Mensal'!$C$5:$C$11</f>
              <numCache>
                <formatCode>"R$" #,##0.00</formatCode>
                <ptCount val="7"/>
                <pt idx="0">
                  <v>0</v>
                </pt>
                <pt idx="1">
                  <v>3978.99</v>
                </pt>
                <pt idx="2">
                  <v>9067.969999999999</v>
                </pt>
                <pt idx="3">
                  <v>0</v>
                </pt>
                <pt idx="4">
                  <v>24986.93</v>
                </pt>
                <pt idx="5">
                  <v>6810.780000000001</v>
                </pt>
                <pt idx="6">
                  <v>16794.63</v>
                </pt>
              </numCache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Entradas x Saídas por Mês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'Fluxo Mensal'!B4</f>
              <strCache>
                <ptCount val="1"/>
                <pt idx="0">
                  <v>Entradas</v>
                </pt>
              </strCache>
            </strRef>
          </tx>
          <spPr>
            <a:solidFill>
              <a:srgbClr val="2A78D6"/>
            </a:solidFill>
            <a:ln>
              <a:prstDash val="solid"/>
            </a:ln>
          </spPr>
          <cat>
            <numRef>
              <f>'Fluxo Mensal'!$A$5:$A$11</f>
              <numCache>
                <formatCode>mmm/yyyy</formatCode>
                <ptCount val="7"/>
                <pt idx="0">
                  <v>46082</v>
                </pt>
                <pt idx="1">
                  <v>46113</v>
                </pt>
                <pt idx="2">
                  <v>46143</v>
                </pt>
                <pt idx="3">
                  <v>46174</v>
                </pt>
                <pt idx="4">
                  <v>46204</v>
                </pt>
                <pt idx="5">
                  <v>46235</v>
                </pt>
                <pt idx="6">
                  <v>46266</v>
                </pt>
              </numCache>
            </numRef>
          </cat>
          <val>
            <numRef>
              <f>'Fluxo Mensal'!$B$5:$B$11</f>
              <numCache>
                <formatCode>"R$" #,##0.00</formatCode>
                <ptCount val="7"/>
                <pt idx="0">
                  <v>0</v>
                </pt>
                <pt idx="1">
                  <v>17510.88</v>
                </pt>
                <pt idx="2">
                  <v>13227.69</v>
                </pt>
                <pt idx="3">
                  <v>10106.95</v>
                </pt>
                <pt idx="4">
                  <v>15254.72</v>
                </pt>
                <pt idx="5">
                  <v>14949.33</v>
                </pt>
                <pt idx="6">
                  <v>11926.98</v>
                </pt>
              </numCache>
            </numRef>
          </val>
        </ser>
        <ser>
          <idx val="1"/>
          <order val="1"/>
          <tx>
            <strRef>
              <f>'Fluxo Mensal'!C4</f>
              <strCache>
                <ptCount val="1"/>
                <pt idx="0">
                  <v>Saídas</v>
                </pt>
              </strCache>
            </strRef>
          </tx>
          <spPr>
            <a:solidFill>
              <a:srgbClr val="E34948"/>
            </a:solidFill>
            <a:ln>
              <a:prstDash val="solid"/>
            </a:ln>
          </spPr>
          <cat>
            <numRef>
              <f>'Fluxo Mensal'!$A$5:$A$11</f>
              <numCache>
                <formatCode>mmm/yyyy</formatCode>
                <ptCount val="7"/>
                <pt idx="0">
                  <v>46082</v>
                </pt>
                <pt idx="1">
                  <v>46113</v>
                </pt>
                <pt idx="2">
                  <v>46143</v>
                </pt>
                <pt idx="3">
                  <v>46174</v>
                </pt>
                <pt idx="4">
                  <v>46204</v>
                </pt>
                <pt idx="5">
                  <v>46235</v>
                </pt>
                <pt idx="6">
                  <v>46266</v>
                </pt>
              </numCache>
            </numRef>
          </cat>
          <val>
            <numRef>
              <f>'Fluxo Mensal'!$C$5:$C$11</f>
              <numCache>
                <formatCode>"R$" #,##0.00</formatCode>
                <ptCount val="7"/>
                <pt idx="0">
                  <v>0</v>
                </pt>
                <pt idx="1">
                  <v>3978.99</v>
                </pt>
                <pt idx="2">
                  <v>9067.969999999999</v>
                </pt>
                <pt idx="3">
                  <v>0</v>
                </pt>
                <pt idx="4">
                  <v>24986.93</v>
                </pt>
                <pt idx="5">
                  <v>6810.780000000001</v>
                </pt>
                <pt idx="6">
                  <v>16794.63</v>
                </pt>
              </numCache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Acumulado</a:t>
            </a:r>
          </a:p>
        </rich>
      </tx>
    </title>
    <plotArea>
      <lineChart>
        <grouping val="standard"/>
        <ser>
          <idx val="0"/>
          <order val="0"/>
          <tx>
            <strRef>
              <f>'Fluxo Mensal'!E4</f>
              <strCache>
                <ptCount val="1"/>
                <pt idx="0">
                  <v>Saldo Acumulado</v>
                </pt>
              </strCache>
            </strRef>
          </tx>
          <spPr>
            <a:ln w="22000">
              <a:solidFill>
                <a:srgbClr val="2A78D6"/>
              </a:solidFill>
              <a:prstDash val="solid"/>
            </a:ln>
          </spPr>
          <marker>
            <symbol val="circle"/>
            <size val="6"/>
            <spPr>
              <a:solidFill>
                <a:srgbClr val="2A78D6"/>
              </a:solidFill>
              <a:ln>
                <a:solidFill>
                  <a:srgbClr val="2A78D6"/>
                </a:solidFill>
                <a:prstDash val="solid"/>
              </a:ln>
            </spPr>
          </marker>
          <cat>
            <numRef>
              <f>'Fluxo Mensal'!$A$5:$A$11</f>
              <numCache>
                <formatCode>mmm/yyyy</formatCode>
                <ptCount val="7"/>
                <pt idx="0">
                  <v>46082</v>
                </pt>
                <pt idx="1">
                  <v>46113</v>
                </pt>
                <pt idx="2">
                  <v>46143</v>
                </pt>
                <pt idx="3">
                  <v>46174</v>
                </pt>
                <pt idx="4">
                  <v>46204</v>
                </pt>
                <pt idx="5">
                  <v>46235</v>
                </pt>
                <pt idx="6">
                  <v>46266</v>
                </pt>
              </numCache>
            </numRef>
          </cat>
          <val>
            <numRef>
              <f>'Fluxo Mensal'!$E$5:$E$11</f>
              <numCache>
                <formatCode>"R$" #,##0.00</formatCode>
                <ptCount val="7"/>
                <pt idx="0">
                  <v>0</v>
                </pt>
                <pt idx="1">
                  <v>13531.89</v>
                </pt>
                <pt idx="2">
                  <v>17691.61</v>
                </pt>
                <pt idx="3">
                  <v>27798.56</v>
                </pt>
                <pt idx="4">
                  <v>18066.35</v>
                </pt>
                <pt idx="5">
                  <v>26204.9</v>
                </pt>
                <pt idx="6">
                  <v>21337.25</v>
                </pt>
              </numCache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Despesas por Categoria</a:t>
            </a:r>
          </a:p>
        </rich>
      </tx>
    </title>
    <plotArea>
      <barChart>
        <barDir val="bar"/>
        <grouping val="clustered"/>
        <ser>
          <idx val="0"/>
          <order val="0"/>
          <spPr>
            <a:solidFill>
              <a:srgbClr val="E34948"/>
            </a:solidFill>
            <a:ln>
              <a:prstDash val="solid"/>
            </a:ln>
          </spPr>
          <cat>
            <strRef>
              <f>'DRE'!$A$6:$A$11</f>
              <strCache>
                <ptCount val="6"/>
                <pt idx="0">
                  <v>Aluguel</v>
                </pt>
                <pt idx="1">
                  <v>Fornecedor</v>
                </pt>
                <pt idx="2">
                  <v>Imposto</v>
                </pt>
                <pt idx="3">
                  <v>Manutenção</v>
                </pt>
                <pt idx="4">
                  <v>Marketing</v>
                </pt>
                <pt idx="5">
                  <v>Salário</v>
                </pt>
              </strCache>
            </strRef>
          </cat>
          <val>
            <numRef>
              <f>'DRE'!$B$6:$B$11</f>
              <numCache>
                <formatCode>"R$" #,##0.00</formatCode>
                <ptCount val="6"/>
                <pt idx="0">
                  <v>26246.34</v>
                </pt>
                <pt idx="1">
                  <v>46762.05</v>
                </pt>
                <pt idx="2">
                  <v>68429.45</v>
                </pt>
                <pt idx="3">
                  <v>28808.36</v>
                </pt>
                <pt idx="4">
                  <v>25904.33</v>
                </pt>
                <pt idx="5">
                  <v>47849.25</v>
                </pt>
              </numCache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864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3</row>
      <rowOff>0</rowOff>
    </from>
    <ext cx="720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20</row>
      <rowOff>0</rowOff>
    </from>
    <ext cx="7200000" cy="30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3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dados" displayName="tbl_dados" ref="A1:F201" headerRowCount="1">
  <autoFilter ref="A1:F201"/>
  <tableColumns count="6">
    <tableColumn id="1" name="Data"/>
    <tableColumn id="2" name="Descrição"/>
    <tableColumn id="3" name="Categoria"/>
    <tableColumn id="4" name="Tipo"/>
    <tableColumn id="5" name="Valor"/>
    <tableColumn id="6" name="Statu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bl_receber" displayName="tbl_receber" ref="A11:E83" headerRowCount="1">
  <autoFilter ref="A11:E83"/>
  <tableColumns count="5">
    <tableColumn id="1" name="Data"/>
    <tableColumn id="2" name="Descrição"/>
    <tableColumn id="3" name="Categoria"/>
    <tableColumn id="4" name="Valor"/>
    <tableColumn id="5" name="Statu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bl_pagar" displayName="tbl_pagar" ref="G11:K75" headerRowCount="1">
  <autoFilter ref="G11:K75"/>
  <tableColumns count="5">
    <tableColumn id="7" name="Data"/>
    <tableColumn id="8" name="Descrição"/>
    <tableColumn id="9" name="Categoria"/>
    <tableColumn id="10" name="Valor"/>
    <tableColumn id="11" name="Statu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Relationship Type="http://schemas.openxmlformats.org/officeDocument/2006/relationships/table" Target="/xl/tables/table3.xml" Id="rId2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28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6" customHeight="1">
      <c r="A1" s="1" t="inlineStr">
        <is>
          <t>Dashboard Financeiro — PME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Período: Mar/2026 a Sep/2026 · dados tratados a partir de um export bruto simulado (ver README)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4" ht="16" customHeight="1">
      <c r="A4" s="4" t="inlineStr">
        <is>
          <t>RECEBIDO (CAIXA)</t>
        </is>
      </c>
      <c r="B4" s="5" t="n"/>
      <c r="C4" s="6" t="n"/>
      <c r="D4" s="4" t="inlineStr">
        <is>
          <t>PAGO (CAIXA)</t>
        </is>
      </c>
      <c r="E4" s="5" t="n"/>
      <c r="F4" s="6" t="n"/>
      <c r="G4" s="4" t="inlineStr">
        <is>
          <t>SALDO DE CAIXA</t>
        </is>
      </c>
      <c r="H4" s="5" t="n"/>
      <c r="I4" s="6" t="n"/>
    </row>
    <row r="5" ht="28" customHeight="1">
      <c r="A5" s="7">
        <f>'Fluxo Mensal'!B12</f>
        <v>82976.55</v>
      </c>
      <c r="B5" s="8" t="n"/>
      <c r="C5" s="9" t="n"/>
      <c r="D5" s="10">
        <f>'Fluxo Mensal'!C12</f>
        <v>61639.3</v>
      </c>
      <c r="E5" s="8" t="n"/>
      <c r="F5" s="9" t="n"/>
      <c r="G5" s="11">
        <f>'Fluxo Mensal'!D12</f>
        <v>21337.25</v>
      </c>
      <c r="H5" s="8" t="n"/>
      <c r="I5" s="9" t="n"/>
    </row>
    <row r="7" ht="16" customHeight="1">
      <c r="A7" s="4" t="inlineStr">
        <is>
          <t>CONTAS A RECEBER (EM ABERTO)</t>
        </is>
      </c>
      <c r="B7" s="5" t="n"/>
      <c r="C7" s="6" t="n"/>
      <c r="D7" s="4" t="inlineStr">
        <is>
          <t>CONTAS A PAGAR (EM ABERTO)</t>
        </is>
      </c>
      <c r="E7" s="5" t="n"/>
      <c r="F7" s="6" t="n"/>
      <c r="G7" s="4" t="inlineStr">
        <is>
          <t>RESULTADO LÍQUIDO (DRE)</t>
        </is>
      </c>
      <c r="H7" s="5" t="n"/>
      <c r="I7" s="6" t="n"/>
    </row>
    <row r="8" ht="28" customHeight="1">
      <c r="A8" s="7">
        <f>'Contas a Pagar e Receber'!D5</f>
        <v>199712.9</v>
      </c>
      <c r="B8" s="8" t="n"/>
      <c r="C8" s="9" t="n"/>
      <c r="D8" s="10">
        <f>'Contas a Pagar e Receber'!D6</f>
        <v>177687.16</v>
      </c>
      <c r="E8" s="8" t="n"/>
      <c r="F8" s="9" t="n"/>
      <c r="G8" s="11">
        <f>DRE!B14</f>
        <v>61963.98</v>
      </c>
      <c r="H8" s="8" t="n"/>
      <c r="I8" s="9" t="n"/>
    </row>
    <row r="10">
      <c r="A10" s="12" t="inlineStr">
        <is>
          <t>Fluxo de caixa mensal</t>
        </is>
      </c>
    </row>
    <row r="28">
      <c r="A28" s="13" t="inlineStr">
        <is>
          <t>Dados tratados a partir de um export financeiro simulado com sujeira proposital (categorias, datas, sinais e status) — ver README do projeto para o pipeline completo de tratamento e o relatório de qualidade de dados.</t>
        </is>
      </c>
    </row>
  </sheetData>
  <mergeCells count="15">
    <mergeCell ref="A2:I2"/>
    <mergeCell ref="D5:F5"/>
    <mergeCell ref="A5:C5"/>
    <mergeCell ref="G5:I5"/>
    <mergeCell ref="D8:F8"/>
    <mergeCell ref="A28:I28"/>
    <mergeCell ref="A8:C8"/>
    <mergeCell ref="D4:F4"/>
    <mergeCell ref="A1:I1"/>
    <mergeCell ref="G8:I8"/>
    <mergeCell ref="G4:I4"/>
    <mergeCell ref="A7:C7"/>
    <mergeCell ref="D7:F7"/>
    <mergeCell ref="A4:C4"/>
    <mergeCell ref="G7:I7"/>
  </mergeCells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8" customWidth="1" min="3" max="3"/>
    <col width="10" customWidth="1" min="4" max="4"/>
    <col width="14" customWidth="1" min="5" max="5"/>
    <col width="14" customWidth="1" min="6" max="6"/>
  </cols>
  <sheetData>
    <row r="1">
      <c r="A1" s="14" t="inlineStr">
        <is>
          <t>Data</t>
        </is>
      </c>
      <c r="B1" s="14" t="inlineStr">
        <is>
          <t>Descrição</t>
        </is>
      </c>
      <c r="C1" s="14" t="inlineStr">
        <is>
          <t>Categoria</t>
        </is>
      </c>
      <c r="D1" s="14" t="inlineStr">
        <is>
          <t>Tipo</t>
        </is>
      </c>
      <c r="E1" s="14" t="inlineStr">
        <is>
          <t>Valor</t>
        </is>
      </c>
      <c r="F1" s="14" t="inlineStr">
        <is>
          <t>Status</t>
        </is>
      </c>
    </row>
    <row r="2">
      <c r="A2" s="15" t="n">
        <v>46110</v>
      </c>
      <c r="B2" t="inlineStr">
        <is>
          <t>Saída - Fornecedor Z</t>
        </is>
      </c>
      <c r="C2" t="inlineStr">
        <is>
          <t>Imposto</t>
        </is>
      </c>
      <c r="D2" t="inlineStr">
        <is>
          <t>Saída</t>
        </is>
      </c>
      <c r="E2" s="16" t="n">
        <v>849.83</v>
      </c>
      <c r="F2" t="inlineStr">
        <is>
          <t>Pendente</t>
        </is>
      </c>
    </row>
    <row r="3">
      <c r="A3" s="15" t="n">
        <v>46111</v>
      </c>
      <c r="B3" t="inlineStr">
        <is>
          <t>Saída - Fornecedor Y</t>
        </is>
      </c>
      <c r="C3" t="inlineStr">
        <is>
          <t>Manutenção</t>
        </is>
      </c>
      <c r="D3" t="inlineStr">
        <is>
          <t>Saída</t>
        </is>
      </c>
      <c r="E3" s="16" t="n">
        <v>665.55</v>
      </c>
      <c r="F3" t="inlineStr">
        <is>
          <t>Pendente</t>
        </is>
      </c>
    </row>
    <row r="4">
      <c r="A4" s="15" t="n">
        <v>46112</v>
      </c>
      <c r="B4" t="inlineStr">
        <is>
          <t>Saída - Fornecedor Y</t>
        </is>
      </c>
      <c r="C4" t="inlineStr">
        <is>
          <t>Salário</t>
        </is>
      </c>
      <c r="D4" t="inlineStr">
        <is>
          <t>Saída</t>
        </is>
      </c>
      <c r="E4" s="16" t="n">
        <v>3351.12</v>
      </c>
      <c r="F4" t="inlineStr">
        <is>
          <t>Pendente</t>
        </is>
      </c>
    </row>
    <row r="5">
      <c r="A5" s="15" t="n">
        <v>46113</v>
      </c>
      <c r="B5" t="inlineStr">
        <is>
          <t>Entrada - Cliente B</t>
        </is>
      </c>
      <c r="C5" t="inlineStr">
        <is>
          <t>Venda de Serviço</t>
        </is>
      </c>
      <c r="D5" t="inlineStr">
        <is>
          <t>Entrada</t>
        </is>
      </c>
      <c r="E5" s="16" t="n">
        <v>796.61</v>
      </c>
      <c r="F5" t="inlineStr">
        <is>
          <t>Pago</t>
        </is>
      </c>
    </row>
    <row r="6">
      <c r="A6" s="15" t="n">
        <v>46115</v>
      </c>
      <c r="B6" t="inlineStr">
        <is>
          <t>Entrada - Cliente A</t>
        </is>
      </c>
      <c r="C6" t="inlineStr">
        <is>
          <t>Venda de Serviço</t>
        </is>
      </c>
      <c r="D6" t="inlineStr">
        <is>
          <t>Entrada</t>
        </is>
      </c>
      <c r="E6" s="16" t="n">
        <v>3602.18</v>
      </c>
      <c r="F6" t="inlineStr">
        <is>
          <t>Atrasado</t>
        </is>
      </c>
    </row>
    <row r="7">
      <c r="A7" s="15" t="n">
        <v>46115</v>
      </c>
      <c r="B7" t="inlineStr">
        <is>
          <t>Entrada - Cliente B</t>
        </is>
      </c>
      <c r="C7" t="inlineStr">
        <is>
          <t>Venda de Serviço</t>
        </is>
      </c>
      <c r="D7" t="inlineStr">
        <is>
          <t>Entrada</t>
        </is>
      </c>
      <c r="E7" s="16" t="n">
        <v>554.41</v>
      </c>
      <c r="F7" t="inlineStr">
        <is>
          <t>Atrasado</t>
        </is>
      </c>
    </row>
    <row r="8">
      <c r="A8" s="15" t="n">
        <v>46116</v>
      </c>
      <c r="B8" t="inlineStr">
        <is>
          <t>Entrada - Cliente C</t>
        </is>
      </c>
      <c r="C8" t="inlineStr">
        <is>
          <t>Venda de Serviço</t>
        </is>
      </c>
      <c r="D8" t="inlineStr">
        <is>
          <t>Entrada</t>
        </is>
      </c>
      <c r="E8" s="16" t="n">
        <v>3367.37</v>
      </c>
      <c r="F8" t="inlineStr">
        <is>
          <t>Atrasado</t>
        </is>
      </c>
    </row>
    <row r="9">
      <c r="A9" s="15" t="n">
        <v>46116</v>
      </c>
      <c r="B9" t="inlineStr">
        <is>
          <t>Entrada - Cliente A</t>
        </is>
      </c>
      <c r="C9" t="inlineStr">
        <is>
          <t>Venda de Serviço</t>
        </is>
      </c>
      <c r="D9" t="inlineStr">
        <is>
          <t>Entrada</t>
        </is>
      </c>
      <c r="E9" s="16" t="n">
        <v>3417.4</v>
      </c>
      <c r="F9" t="inlineStr">
        <is>
          <t>Atrasado</t>
        </is>
      </c>
    </row>
    <row r="10">
      <c r="A10" s="15" t="n">
        <v>46117</v>
      </c>
      <c r="B10" t="inlineStr">
        <is>
          <t>Entrada - Cliente C</t>
        </is>
      </c>
      <c r="C10" t="inlineStr">
        <is>
          <t>Venda de Serviço</t>
        </is>
      </c>
      <c r="D10" t="inlineStr">
        <is>
          <t>Entrada</t>
        </is>
      </c>
      <c r="E10" s="16" t="n">
        <v>1974.84</v>
      </c>
      <c r="F10" t="inlineStr">
        <is>
          <t>Pendente</t>
        </is>
      </c>
    </row>
    <row r="11">
      <c r="A11" s="15" t="n">
        <v>46117</v>
      </c>
      <c r="B11" t="inlineStr">
        <is>
          <t>Entrada - Cliente C</t>
        </is>
      </c>
      <c r="C11" t="inlineStr">
        <is>
          <t>Venda de Serviço</t>
        </is>
      </c>
      <c r="D11" t="inlineStr">
        <is>
          <t>Entrada</t>
        </is>
      </c>
      <c r="E11" s="16" t="n">
        <v>4647.99</v>
      </c>
      <c r="F11" t="inlineStr">
        <is>
          <t>Pendente</t>
        </is>
      </c>
    </row>
    <row r="12">
      <c r="A12" s="15" t="n">
        <v>46119</v>
      </c>
      <c r="B12" t="inlineStr">
        <is>
          <t>Entrada - Cliente B</t>
        </is>
      </c>
      <c r="C12" t="inlineStr">
        <is>
          <t>Venda de Serviço</t>
        </is>
      </c>
      <c r="D12" t="inlineStr">
        <is>
          <t>Entrada</t>
        </is>
      </c>
      <c r="E12" s="16" t="n">
        <v>3579.1</v>
      </c>
      <c r="F12" t="inlineStr">
        <is>
          <t>Atrasado</t>
        </is>
      </c>
    </row>
    <row r="13">
      <c r="A13" s="15" t="n">
        <v>46120</v>
      </c>
      <c r="B13" t="inlineStr">
        <is>
          <t>Entrada - Cliente A</t>
        </is>
      </c>
      <c r="C13" t="inlineStr">
        <is>
          <t>Venda de Serviço</t>
        </is>
      </c>
      <c r="D13" t="inlineStr">
        <is>
          <t>Entrada</t>
        </is>
      </c>
      <c r="E13" s="16" t="n">
        <v>1852.9</v>
      </c>
      <c r="F13" t="inlineStr">
        <is>
          <t>Pendente</t>
        </is>
      </c>
    </row>
    <row r="14">
      <c r="A14" s="15" t="n">
        <v>46121</v>
      </c>
      <c r="B14" t="inlineStr">
        <is>
          <t>Entrada - Cliente A</t>
        </is>
      </c>
      <c r="C14" t="inlineStr">
        <is>
          <t>Venda de Serviço</t>
        </is>
      </c>
      <c r="D14" t="inlineStr">
        <is>
          <t>Entrada</t>
        </is>
      </c>
      <c r="E14" s="16" t="n">
        <v>3537.63</v>
      </c>
      <c r="F14" t="inlineStr">
        <is>
          <t>Pago</t>
        </is>
      </c>
    </row>
    <row r="15">
      <c r="A15" s="15" t="n">
        <v>46121</v>
      </c>
      <c r="B15" t="inlineStr">
        <is>
          <t>Saída - Fornecedor Y</t>
        </is>
      </c>
      <c r="C15" t="inlineStr">
        <is>
          <t>Imposto</t>
        </is>
      </c>
      <c r="D15" t="inlineStr">
        <is>
          <t>Saída</t>
        </is>
      </c>
      <c r="E15" s="16" t="n">
        <v>3540.88</v>
      </c>
      <c r="F15" t="inlineStr">
        <is>
          <t>Atrasado</t>
        </is>
      </c>
    </row>
    <row r="16">
      <c r="A16" s="15" t="n">
        <v>46122</v>
      </c>
      <c r="B16" t="inlineStr">
        <is>
          <t>Entrada - Cliente B</t>
        </is>
      </c>
      <c r="C16" t="inlineStr">
        <is>
          <t>Venda de Serviço</t>
        </is>
      </c>
      <c r="D16" t="inlineStr">
        <is>
          <t>Entrada</t>
        </is>
      </c>
      <c r="E16" s="16" t="n">
        <v>3115.94</v>
      </c>
      <c r="F16" t="inlineStr">
        <is>
          <t>Atrasado</t>
        </is>
      </c>
    </row>
    <row r="17">
      <c r="A17" s="15" t="n">
        <v>46122</v>
      </c>
      <c r="B17" t="inlineStr">
        <is>
          <t>Saída - Fornecedor X</t>
        </is>
      </c>
      <c r="C17" t="inlineStr">
        <is>
          <t>Manutenção</t>
        </is>
      </c>
      <c r="D17" t="inlineStr">
        <is>
          <t>Saída</t>
        </is>
      </c>
      <c r="E17" s="16" t="n">
        <v>3978.99</v>
      </c>
      <c r="F17" t="inlineStr">
        <is>
          <t>Pago</t>
        </is>
      </c>
    </row>
    <row r="18">
      <c r="A18" s="15" t="n">
        <v>46123</v>
      </c>
      <c r="B18" t="inlineStr">
        <is>
          <t>Saída - Fornecedor Z</t>
        </is>
      </c>
      <c r="C18" t="inlineStr">
        <is>
          <t>Aluguel</t>
        </is>
      </c>
      <c r="D18" t="inlineStr">
        <is>
          <t>Saída</t>
        </is>
      </c>
      <c r="E18" s="16" t="n">
        <v>4325.99</v>
      </c>
      <c r="F18" t="inlineStr">
        <is>
          <t>Atrasado</t>
        </is>
      </c>
    </row>
    <row r="19">
      <c r="A19" s="15" t="n">
        <v>46123</v>
      </c>
      <c r="B19" t="inlineStr">
        <is>
          <t>Entrada - Cliente B</t>
        </is>
      </c>
      <c r="C19" t="inlineStr">
        <is>
          <t>Venda de Serviço</t>
        </is>
      </c>
      <c r="D19" t="inlineStr">
        <is>
          <t>Entrada</t>
        </is>
      </c>
      <c r="E19" s="16" t="n">
        <v>3626.1</v>
      </c>
      <c r="F19" t="inlineStr">
        <is>
          <t>Pago</t>
        </is>
      </c>
    </row>
    <row r="20">
      <c r="A20" s="15" t="n">
        <v>46123</v>
      </c>
      <c r="B20" t="inlineStr">
        <is>
          <t>Saída - Fornecedor X</t>
        </is>
      </c>
      <c r="C20" t="inlineStr">
        <is>
          <t>Fornecedor</t>
        </is>
      </c>
      <c r="D20" t="inlineStr">
        <is>
          <t>Saída</t>
        </is>
      </c>
      <c r="E20" s="16" t="n">
        <v>2497.17</v>
      </c>
      <c r="F20" t="inlineStr">
        <is>
          <t>Atrasado</t>
        </is>
      </c>
    </row>
    <row r="21">
      <c r="A21" s="15" t="n">
        <v>46124</v>
      </c>
      <c r="B21" t="inlineStr">
        <is>
          <t>Entrada - Cliente C</t>
        </is>
      </c>
      <c r="C21" t="inlineStr">
        <is>
          <t>Venda de Serviço</t>
        </is>
      </c>
      <c r="D21" t="inlineStr">
        <is>
          <t>Entrada</t>
        </is>
      </c>
      <c r="E21" s="16" t="n">
        <v>2828.16</v>
      </c>
      <c r="F21" t="inlineStr">
        <is>
          <t>Atrasado</t>
        </is>
      </c>
    </row>
    <row r="22">
      <c r="A22" s="15" t="n">
        <v>46125</v>
      </c>
      <c r="B22" t="inlineStr">
        <is>
          <t>Saída - Fornecedor Z</t>
        </is>
      </c>
      <c r="C22" t="inlineStr">
        <is>
          <t>Aluguel</t>
        </is>
      </c>
      <c r="D22" t="inlineStr">
        <is>
          <t>Saída</t>
        </is>
      </c>
      <c r="E22" s="16" t="n">
        <v>3324.53</v>
      </c>
      <c r="F22" t="inlineStr">
        <is>
          <t>Pendente</t>
        </is>
      </c>
    </row>
    <row r="23">
      <c r="A23" s="15" t="n">
        <v>46126</v>
      </c>
      <c r="B23" t="inlineStr">
        <is>
          <t>Saída - Fornecedor Y</t>
        </is>
      </c>
      <c r="C23" t="inlineStr">
        <is>
          <t>Salário</t>
        </is>
      </c>
      <c r="D23" t="inlineStr">
        <is>
          <t>Saída</t>
        </is>
      </c>
      <c r="E23" s="16" t="n">
        <v>4328.55</v>
      </c>
      <c r="F23" t="inlineStr">
        <is>
          <t>Atrasado</t>
        </is>
      </c>
    </row>
    <row r="24">
      <c r="A24" s="15" t="n">
        <v>46126</v>
      </c>
      <c r="B24" t="inlineStr">
        <is>
          <t>Saída - Fornecedor Y</t>
        </is>
      </c>
      <c r="C24" t="inlineStr">
        <is>
          <t>Imposto</t>
        </is>
      </c>
      <c r="D24" t="inlineStr">
        <is>
          <t>Saída</t>
        </is>
      </c>
      <c r="E24" s="16" t="n">
        <v>1102.5</v>
      </c>
      <c r="F24" t="inlineStr">
        <is>
          <t>Pendente</t>
        </is>
      </c>
    </row>
    <row r="25">
      <c r="A25" s="15" t="n">
        <v>46130</v>
      </c>
      <c r="B25" t="inlineStr">
        <is>
          <t>Entrada - Cliente A</t>
        </is>
      </c>
      <c r="C25" t="inlineStr">
        <is>
          <t>Venda de Serviço</t>
        </is>
      </c>
      <c r="D25" t="inlineStr">
        <is>
          <t>Entrada</t>
        </is>
      </c>
      <c r="E25" s="16" t="n">
        <v>2563.02</v>
      </c>
      <c r="F25" t="inlineStr">
        <is>
          <t>Pendente</t>
        </is>
      </c>
    </row>
    <row r="26">
      <c r="A26" s="15" t="n">
        <v>46131</v>
      </c>
      <c r="B26" t="inlineStr">
        <is>
          <t>Entrada - Cliente B</t>
        </is>
      </c>
      <c r="C26" t="inlineStr">
        <is>
          <t>Venda de Serviço</t>
        </is>
      </c>
      <c r="D26" t="inlineStr">
        <is>
          <t>Entrada</t>
        </is>
      </c>
      <c r="E26" s="16" t="n">
        <v>978.53</v>
      </c>
      <c r="F26" t="inlineStr">
        <is>
          <t>Pendente</t>
        </is>
      </c>
    </row>
    <row r="27">
      <c r="A27" s="15" t="n">
        <v>46131</v>
      </c>
      <c r="B27" t="inlineStr">
        <is>
          <t>Entrada - Cliente A</t>
        </is>
      </c>
      <c r="C27" t="inlineStr">
        <is>
          <t>Venda de Serviço</t>
        </is>
      </c>
      <c r="D27" t="inlineStr">
        <is>
          <t>Entrada</t>
        </is>
      </c>
      <c r="E27" s="16" t="n">
        <v>1036.84</v>
      </c>
      <c r="F27" t="inlineStr">
        <is>
          <t>Pago</t>
        </is>
      </c>
    </row>
    <row r="28">
      <c r="A28" s="15" t="n">
        <v>46131</v>
      </c>
      <c r="B28" t="inlineStr">
        <is>
          <t>Entrada - Cliente A</t>
        </is>
      </c>
      <c r="C28" t="inlineStr">
        <is>
          <t>Venda de Serviço</t>
        </is>
      </c>
      <c r="D28" t="inlineStr">
        <is>
          <t>Entrada</t>
        </is>
      </c>
      <c r="E28" s="16" t="n">
        <v>4210.5</v>
      </c>
      <c r="F28" t="inlineStr">
        <is>
          <t>Atrasado</t>
        </is>
      </c>
    </row>
    <row r="29">
      <c r="A29" s="15" t="n">
        <v>46132</v>
      </c>
      <c r="B29" t="inlineStr">
        <is>
          <t>Saída - Fornecedor Z</t>
        </is>
      </c>
      <c r="C29" t="inlineStr">
        <is>
          <t>Salário</t>
        </is>
      </c>
      <c r="D29" t="inlineStr">
        <is>
          <t>Saída</t>
        </is>
      </c>
      <c r="E29" s="16" t="n">
        <v>440.06</v>
      </c>
      <c r="F29" t="inlineStr">
        <is>
          <t>Pendente</t>
        </is>
      </c>
    </row>
    <row r="30">
      <c r="A30" s="15" t="n">
        <v>46134</v>
      </c>
      <c r="B30" t="inlineStr">
        <is>
          <t>Entrada - Cliente B</t>
        </is>
      </c>
      <c r="C30" t="inlineStr">
        <is>
          <t>Venda de Serviço</t>
        </is>
      </c>
      <c r="D30" t="inlineStr">
        <is>
          <t>Entrada</t>
        </is>
      </c>
      <c r="E30" s="16" t="n">
        <v>278.76</v>
      </c>
      <c r="F30" t="inlineStr">
        <is>
          <t>Pago</t>
        </is>
      </c>
    </row>
    <row r="31">
      <c r="A31" s="15" t="n">
        <v>46134</v>
      </c>
      <c r="B31" t="inlineStr">
        <is>
          <t>Entrada - Cliente C</t>
        </is>
      </c>
      <c r="C31" t="inlineStr">
        <is>
          <t>Venda de Serviço</t>
        </is>
      </c>
      <c r="D31" t="inlineStr">
        <is>
          <t>Entrada</t>
        </is>
      </c>
      <c r="E31" s="16" t="n">
        <v>3764.86</v>
      </c>
      <c r="F31" t="inlineStr">
        <is>
          <t>Atrasado</t>
        </is>
      </c>
    </row>
    <row r="32">
      <c r="A32" s="15" t="n">
        <v>46135</v>
      </c>
      <c r="B32" t="inlineStr">
        <is>
          <t>Entrada - Cliente B</t>
        </is>
      </c>
      <c r="C32" t="inlineStr">
        <is>
          <t>Venda de Serviço</t>
        </is>
      </c>
      <c r="D32" t="inlineStr">
        <is>
          <t>Entrada</t>
        </is>
      </c>
      <c r="E32" s="16" t="n">
        <v>2812.46</v>
      </c>
      <c r="F32" t="inlineStr">
        <is>
          <t>Atrasado</t>
        </is>
      </c>
    </row>
    <row r="33">
      <c r="A33" s="15" t="n">
        <v>46135</v>
      </c>
      <c r="B33" t="inlineStr">
        <is>
          <t>Saída - Fornecedor Y</t>
        </is>
      </c>
      <c r="C33" t="inlineStr">
        <is>
          <t>Salário</t>
        </is>
      </c>
      <c r="D33" t="inlineStr">
        <is>
          <t>Saída</t>
        </is>
      </c>
      <c r="E33" s="16" t="n">
        <v>1761.15</v>
      </c>
      <c r="F33" t="inlineStr">
        <is>
          <t>Atrasado</t>
        </is>
      </c>
    </row>
    <row r="34">
      <c r="A34" s="15" t="n">
        <v>46138</v>
      </c>
      <c r="B34" t="inlineStr">
        <is>
          <t>Entrada - Cliente A</t>
        </is>
      </c>
      <c r="C34" t="inlineStr">
        <is>
          <t>Venda de Serviço</t>
        </is>
      </c>
      <c r="D34" t="inlineStr">
        <is>
          <t>Entrada</t>
        </is>
      </c>
      <c r="E34" s="16" t="n">
        <v>4264.15</v>
      </c>
      <c r="F34" t="inlineStr">
        <is>
          <t>Pago</t>
        </is>
      </c>
    </row>
    <row r="35">
      <c r="A35" s="15" t="n">
        <v>46138</v>
      </c>
      <c r="B35" t="inlineStr">
        <is>
          <t>Entrada - Cliente B</t>
        </is>
      </c>
      <c r="C35" t="inlineStr">
        <is>
          <t>Venda de Serviço</t>
        </is>
      </c>
      <c r="D35" t="inlineStr">
        <is>
          <t>Entrada</t>
        </is>
      </c>
      <c r="E35" s="16" t="n">
        <v>3970.79</v>
      </c>
      <c r="F35" t="inlineStr">
        <is>
          <t>Pago</t>
        </is>
      </c>
    </row>
    <row r="36">
      <c r="A36" s="15" t="n">
        <v>46139</v>
      </c>
      <c r="B36" t="inlineStr">
        <is>
          <t>Saída - Fornecedor X</t>
        </is>
      </c>
      <c r="C36" t="inlineStr">
        <is>
          <t>Fornecedor</t>
        </is>
      </c>
      <c r="D36" t="inlineStr">
        <is>
          <t>Saída</t>
        </is>
      </c>
      <c r="E36" s="16" t="n">
        <v>4710.28</v>
      </c>
      <c r="F36" t="inlineStr">
        <is>
          <t>Atrasado</t>
        </is>
      </c>
    </row>
    <row r="37">
      <c r="A37" s="15" t="n">
        <v>46140</v>
      </c>
      <c r="B37" t="inlineStr">
        <is>
          <t>Entrada - Cliente C</t>
        </is>
      </c>
      <c r="C37" t="inlineStr">
        <is>
          <t>Venda de Serviço</t>
        </is>
      </c>
      <c r="D37" t="inlineStr">
        <is>
          <t>Entrada</t>
        </is>
      </c>
      <c r="E37" s="16" t="n">
        <v>4623.36</v>
      </c>
      <c r="F37" t="inlineStr">
        <is>
          <t>Atrasado</t>
        </is>
      </c>
    </row>
    <row r="38">
      <c r="A38" s="15" t="n">
        <v>46140</v>
      </c>
      <c r="B38" t="inlineStr">
        <is>
          <t>Entrada - Cliente A</t>
        </is>
      </c>
      <c r="C38" t="inlineStr">
        <is>
          <t>Venda de Serviço</t>
        </is>
      </c>
      <c r="D38" t="inlineStr">
        <is>
          <t>Entrada</t>
        </is>
      </c>
      <c r="E38" s="16" t="n">
        <v>366.93</v>
      </c>
      <c r="F38" t="inlineStr">
        <is>
          <t>Atrasado</t>
        </is>
      </c>
    </row>
    <row r="39">
      <c r="A39" s="15" t="n">
        <v>46142</v>
      </c>
      <c r="B39" t="inlineStr">
        <is>
          <t>Saída - Fornecedor Z</t>
        </is>
      </c>
      <c r="C39" t="inlineStr">
        <is>
          <t>Salário</t>
        </is>
      </c>
      <c r="D39" t="inlineStr">
        <is>
          <t>Saída</t>
        </is>
      </c>
      <c r="E39" s="16" t="n">
        <v>3474.35</v>
      </c>
      <c r="F39" t="inlineStr">
        <is>
          <t>Pendente</t>
        </is>
      </c>
    </row>
    <row r="40">
      <c r="A40" s="15" t="n">
        <v>46143</v>
      </c>
      <c r="B40" t="inlineStr">
        <is>
          <t>Saída - Fornecedor Z</t>
        </is>
      </c>
      <c r="C40" t="inlineStr">
        <is>
          <t>Fornecedor</t>
        </is>
      </c>
      <c r="D40" t="inlineStr">
        <is>
          <t>Saída</t>
        </is>
      </c>
      <c r="E40" s="16" t="n">
        <v>178.03</v>
      </c>
      <c r="F40" t="inlineStr">
        <is>
          <t>Atrasado</t>
        </is>
      </c>
    </row>
    <row r="41">
      <c r="A41" s="15" t="n">
        <v>46143</v>
      </c>
      <c r="B41" t="inlineStr">
        <is>
          <t>Entrada - Cliente C</t>
        </is>
      </c>
      <c r="C41" t="inlineStr">
        <is>
          <t>Venda de Serviço</t>
        </is>
      </c>
      <c r="D41" t="inlineStr">
        <is>
          <t>Entrada</t>
        </is>
      </c>
      <c r="E41" s="16" t="n">
        <v>3630.6</v>
      </c>
      <c r="F41" t="inlineStr">
        <is>
          <t>Pendente</t>
        </is>
      </c>
    </row>
    <row r="42">
      <c r="A42" s="15" t="n">
        <v>46144</v>
      </c>
      <c r="B42" t="inlineStr">
        <is>
          <t>Entrada - Cliente A</t>
        </is>
      </c>
      <c r="C42" t="inlineStr">
        <is>
          <t>Venda de Serviço</t>
        </is>
      </c>
      <c r="D42" t="inlineStr">
        <is>
          <t>Entrada</t>
        </is>
      </c>
      <c r="E42" s="16" t="n">
        <v>4904.83</v>
      </c>
      <c r="F42" t="inlineStr">
        <is>
          <t>Pendente</t>
        </is>
      </c>
    </row>
    <row r="43">
      <c r="A43" s="15" t="n">
        <v>46145</v>
      </c>
      <c r="B43" t="inlineStr">
        <is>
          <t>Entrada - Cliente C</t>
        </is>
      </c>
      <c r="C43" t="inlineStr">
        <is>
          <t>Venda de Serviço</t>
        </is>
      </c>
      <c r="D43" t="inlineStr">
        <is>
          <t>Entrada</t>
        </is>
      </c>
      <c r="E43" s="16" t="n">
        <v>3973.51</v>
      </c>
      <c r="F43" t="inlineStr">
        <is>
          <t>Pendente</t>
        </is>
      </c>
    </row>
    <row r="44">
      <c r="A44" s="15" t="n">
        <v>46145</v>
      </c>
      <c r="B44" t="inlineStr">
        <is>
          <t>Saída - Fornecedor Y</t>
        </is>
      </c>
      <c r="C44" t="inlineStr">
        <is>
          <t>Imposto</t>
        </is>
      </c>
      <c r="D44" t="inlineStr">
        <is>
          <t>Saída</t>
        </is>
      </c>
      <c r="E44" s="16" t="n">
        <v>4307.82</v>
      </c>
      <c r="F44" t="inlineStr">
        <is>
          <t>Atrasado</t>
        </is>
      </c>
    </row>
    <row r="45">
      <c r="A45" s="15" t="n">
        <v>46145</v>
      </c>
      <c r="B45" t="inlineStr">
        <is>
          <t>Saída - Fornecedor X</t>
        </is>
      </c>
      <c r="C45" t="inlineStr">
        <is>
          <t>Aluguel</t>
        </is>
      </c>
      <c r="D45" t="inlineStr">
        <is>
          <t>Saída</t>
        </is>
      </c>
      <c r="E45" s="16" t="n">
        <v>2035.77</v>
      </c>
      <c r="F45" t="inlineStr">
        <is>
          <t>Atrasado</t>
        </is>
      </c>
    </row>
    <row r="46">
      <c r="A46" s="15" t="n">
        <v>46146</v>
      </c>
      <c r="B46" t="inlineStr">
        <is>
          <t>Entrada - Cliente C</t>
        </is>
      </c>
      <c r="C46" t="inlineStr">
        <is>
          <t>Venda de Serviço</t>
        </is>
      </c>
      <c r="D46" t="inlineStr">
        <is>
          <t>Entrada</t>
        </is>
      </c>
      <c r="E46" s="16" t="n">
        <v>4539.3</v>
      </c>
      <c r="F46" t="inlineStr">
        <is>
          <t>Atrasado</t>
        </is>
      </c>
    </row>
    <row r="47">
      <c r="A47" s="15" t="n">
        <v>46147</v>
      </c>
      <c r="B47" t="inlineStr">
        <is>
          <t>Entrada - Cliente A</t>
        </is>
      </c>
      <c r="C47" t="inlineStr">
        <is>
          <t>Venda de Serviço</t>
        </is>
      </c>
      <c r="D47" t="inlineStr">
        <is>
          <t>Entrada</t>
        </is>
      </c>
      <c r="E47" s="16" t="n">
        <v>1361.16</v>
      </c>
      <c r="F47" t="inlineStr">
        <is>
          <t>Atrasado</t>
        </is>
      </c>
    </row>
    <row r="48">
      <c r="A48" s="15" t="n">
        <v>46149</v>
      </c>
      <c r="B48" t="inlineStr">
        <is>
          <t>Entrada - Cliente B</t>
        </is>
      </c>
      <c r="C48" t="inlineStr">
        <is>
          <t>Venda de Serviço</t>
        </is>
      </c>
      <c r="D48" t="inlineStr">
        <is>
          <t>Entrada</t>
        </is>
      </c>
      <c r="E48" s="16" t="n">
        <v>3563.42</v>
      </c>
      <c r="F48" t="inlineStr">
        <is>
          <t>Pago</t>
        </is>
      </c>
    </row>
    <row r="49">
      <c r="A49" s="15" t="n">
        <v>46149</v>
      </c>
      <c r="B49" t="inlineStr">
        <is>
          <t>Entrada - Cliente C</t>
        </is>
      </c>
      <c r="C49" t="inlineStr">
        <is>
          <t>Venda de Serviço</t>
        </is>
      </c>
      <c r="D49" t="inlineStr">
        <is>
          <t>Entrada</t>
        </is>
      </c>
      <c r="E49" s="16" t="n">
        <v>4181.25</v>
      </c>
      <c r="F49" t="inlineStr">
        <is>
          <t>Pago</t>
        </is>
      </c>
    </row>
    <row r="50">
      <c r="A50" s="15" t="n">
        <v>46150</v>
      </c>
      <c r="B50" t="inlineStr">
        <is>
          <t>Entrada - Cliente B</t>
        </is>
      </c>
      <c r="C50" t="inlineStr">
        <is>
          <t>Venda de Serviço</t>
        </is>
      </c>
      <c r="D50" t="inlineStr">
        <is>
          <t>Entrada</t>
        </is>
      </c>
      <c r="E50" s="16" t="n">
        <v>685.54</v>
      </c>
      <c r="F50" t="inlineStr">
        <is>
          <t>Pago</t>
        </is>
      </c>
    </row>
    <row r="51">
      <c r="A51" s="15" t="n">
        <v>46150</v>
      </c>
      <c r="B51" t="inlineStr">
        <is>
          <t>Saída - Fornecedor Y</t>
        </is>
      </c>
      <c r="C51" t="inlineStr">
        <is>
          <t>Salário</t>
        </is>
      </c>
      <c r="D51" t="inlineStr">
        <is>
          <t>Saída</t>
        </is>
      </c>
      <c r="E51" s="16" t="n">
        <v>2789.69</v>
      </c>
      <c r="F51" t="inlineStr">
        <is>
          <t>Pendente</t>
        </is>
      </c>
    </row>
    <row r="52">
      <c r="A52" s="15" t="n">
        <v>46150</v>
      </c>
      <c r="B52" t="inlineStr">
        <is>
          <t>Saída - Fornecedor Y</t>
        </is>
      </c>
      <c r="C52" t="inlineStr">
        <is>
          <t>Fornecedor</t>
        </is>
      </c>
      <c r="D52" t="inlineStr">
        <is>
          <t>Saída</t>
        </is>
      </c>
      <c r="E52" s="16" t="n">
        <v>3811.95</v>
      </c>
      <c r="F52" t="inlineStr">
        <is>
          <t>Pago</t>
        </is>
      </c>
    </row>
    <row r="53">
      <c r="A53" s="15" t="n">
        <v>46151</v>
      </c>
      <c r="B53" t="inlineStr">
        <is>
          <t>Entrada - Cliente C</t>
        </is>
      </c>
      <c r="C53" t="inlineStr">
        <is>
          <t>Venda de Serviço</t>
        </is>
      </c>
      <c r="D53" t="inlineStr">
        <is>
          <t>Entrada</t>
        </is>
      </c>
      <c r="E53" s="16" t="n">
        <v>3695.53</v>
      </c>
      <c r="F53" t="inlineStr">
        <is>
          <t>Não informado</t>
        </is>
      </c>
    </row>
    <row r="54">
      <c r="A54" s="15" t="n">
        <v>46152</v>
      </c>
      <c r="B54" t="inlineStr">
        <is>
          <t>Entrada - Cliente C</t>
        </is>
      </c>
      <c r="C54" t="inlineStr">
        <is>
          <t>Venda de Serviço</t>
        </is>
      </c>
      <c r="D54" t="inlineStr">
        <is>
          <t>Entrada</t>
        </is>
      </c>
      <c r="E54" s="16" t="n">
        <v>2378.02</v>
      </c>
      <c r="F54" t="inlineStr">
        <is>
          <t>Pago</t>
        </is>
      </c>
    </row>
    <row r="55">
      <c r="A55" s="15" t="n">
        <v>46152</v>
      </c>
      <c r="B55" t="inlineStr">
        <is>
          <t>Saída - Fornecedor Y</t>
        </is>
      </c>
      <c r="C55" t="inlineStr">
        <is>
          <t>Salário</t>
        </is>
      </c>
      <c r="D55" t="inlineStr">
        <is>
          <t>Saída</t>
        </is>
      </c>
      <c r="E55" s="16" t="n">
        <v>1210.74</v>
      </c>
      <c r="F55" t="inlineStr">
        <is>
          <t>Pago</t>
        </is>
      </c>
    </row>
    <row r="56">
      <c r="A56" s="15" t="n">
        <v>46152</v>
      </c>
      <c r="B56" t="inlineStr">
        <is>
          <t>Entrada - Cliente A</t>
        </is>
      </c>
      <c r="C56" t="inlineStr">
        <is>
          <t>Venda de Serviço</t>
        </is>
      </c>
      <c r="D56" t="inlineStr">
        <is>
          <t>Entrada</t>
        </is>
      </c>
      <c r="E56" s="16" t="n">
        <v>806.55</v>
      </c>
      <c r="F56" t="inlineStr">
        <is>
          <t>Atrasado</t>
        </is>
      </c>
    </row>
    <row r="57">
      <c r="A57" s="15" t="n">
        <v>46153</v>
      </c>
      <c r="B57" t="inlineStr">
        <is>
          <t>Saída - Fornecedor Y</t>
        </is>
      </c>
      <c r="C57" t="inlineStr">
        <is>
          <t>Manutenção</t>
        </is>
      </c>
      <c r="D57" t="inlineStr">
        <is>
          <t>Saída</t>
        </is>
      </c>
      <c r="E57" s="16" t="n">
        <v>4045.28</v>
      </c>
      <c r="F57" t="inlineStr">
        <is>
          <t>Pago</t>
        </is>
      </c>
    </row>
    <row r="58">
      <c r="A58" s="15" t="n">
        <v>46154</v>
      </c>
      <c r="B58" t="inlineStr">
        <is>
          <t>Entrada - Cliente A</t>
        </is>
      </c>
      <c r="C58" t="inlineStr">
        <is>
          <t>Venda de Serviço</t>
        </is>
      </c>
      <c r="D58" t="inlineStr">
        <is>
          <t>Entrada</t>
        </is>
      </c>
      <c r="E58" s="16" t="n">
        <v>3065.2</v>
      </c>
      <c r="F58" t="inlineStr">
        <is>
          <t>Atrasado</t>
        </is>
      </c>
    </row>
    <row r="59">
      <c r="A59" s="15" t="n">
        <v>46154</v>
      </c>
      <c r="B59" t="inlineStr">
        <is>
          <t>Saída - Fornecedor Z</t>
        </is>
      </c>
      <c r="C59" t="inlineStr">
        <is>
          <t>Salário</t>
        </is>
      </c>
      <c r="D59" t="inlineStr">
        <is>
          <t>Saída</t>
        </is>
      </c>
      <c r="E59" s="16" t="n">
        <v>3266.69</v>
      </c>
      <c r="F59" t="inlineStr">
        <is>
          <t>Pendente</t>
        </is>
      </c>
    </row>
    <row r="60">
      <c r="A60" s="15" t="n">
        <v>46154</v>
      </c>
      <c r="B60" t="inlineStr">
        <is>
          <t>Entrada - Cliente C</t>
        </is>
      </c>
      <c r="C60" t="inlineStr">
        <is>
          <t>Venda de Serviço</t>
        </is>
      </c>
      <c r="D60" t="inlineStr">
        <is>
          <t>Entrada</t>
        </is>
      </c>
      <c r="E60" s="16" t="n">
        <v>1546.22</v>
      </c>
      <c r="F60" t="inlineStr">
        <is>
          <t>Pago</t>
        </is>
      </c>
    </row>
    <row r="61">
      <c r="A61" s="15" t="n">
        <v>46156</v>
      </c>
      <c r="B61" t="inlineStr">
        <is>
          <t>Saída - Fornecedor X</t>
        </is>
      </c>
      <c r="C61" t="inlineStr">
        <is>
          <t>Imposto</t>
        </is>
      </c>
      <c r="D61" t="inlineStr">
        <is>
          <t>Saída</t>
        </is>
      </c>
      <c r="E61" s="16" t="n">
        <v>4355.02</v>
      </c>
      <c r="F61" t="inlineStr">
        <is>
          <t>Pendente</t>
        </is>
      </c>
    </row>
    <row r="62">
      <c r="A62" s="15" t="n">
        <v>46157</v>
      </c>
      <c r="B62" t="inlineStr">
        <is>
          <t>Entrada - Cliente A</t>
        </is>
      </c>
      <c r="C62" t="inlineStr">
        <is>
          <t>Venda de Serviço</t>
        </is>
      </c>
      <c r="D62" t="inlineStr">
        <is>
          <t>Entrada</t>
        </is>
      </c>
      <c r="E62" s="16" t="n">
        <v>3558.49</v>
      </c>
      <c r="F62" t="inlineStr">
        <is>
          <t>Atrasado</t>
        </is>
      </c>
    </row>
    <row r="63">
      <c r="A63" s="15" t="n">
        <v>46158</v>
      </c>
      <c r="B63" t="inlineStr">
        <is>
          <t>Entrada - Cliente C</t>
        </is>
      </c>
      <c r="C63" t="inlineStr">
        <is>
          <t>Venda de Serviço</t>
        </is>
      </c>
      <c r="D63" t="inlineStr">
        <is>
          <t>Entrada</t>
        </is>
      </c>
      <c r="E63" s="16" t="n">
        <v>4030.34</v>
      </c>
      <c r="F63" t="inlineStr">
        <is>
          <t>Pendente</t>
        </is>
      </c>
    </row>
    <row r="64">
      <c r="A64" s="15" t="n">
        <v>46160</v>
      </c>
      <c r="B64" t="inlineStr">
        <is>
          <t>Entrada - Cliente C</t>
        </is>
      </c>
      <c r="C64" t="inlineStr">
        <is>
          <t>Venda de Serviço</t>
        </is>
      </c>
      <c r="D64" t="inlineStr">
        <is>
          <t>Entrada</t>
        </is>
      </c>
      <c r="E64" s="16" t="n">
        <v>1948.75</v>
      </c>
      <c r="F64" t="inlineStr">
        <is>
          <t>Atrasado</t>
        </is>
      </c>
    </row>
    <row r="65">
      <c r="A65" s="15" t="n">
        <v>46160</v>
      </c>
      <c r="B65" t="inlineStr">
        <is>
          <t>Entrada - Cliente A</t>
        </is>
      </c>
      <c r="C65" t="inlineStr">
        <is>
          <t>Venda de Serviço</t>
        </is>
      </c>
      <c r="D65" t="inlineStr">
        <is>
          <t>Entrada</t>
        </is>
      </c>
      <c r="E65" s="16" t="n">
        <v>4986.76</v>
      </c>
      <c r="F65" t="inlineStr">
        <is>
          <t>Pendente</t>
        </is>
      </c>
    </row>
    <row r="66">
      <c r="A66" s="15" t="n">
        <v>46161</v>
      </c>
      <c r="B66" t="inlineStr">
        <is>
          <t>Entrada - Cliente A</t>
        </is>
      </c>
      <c r="C66" t="inlineStr">
        <is>
          <t>Venda de Serviço</t>
        </is>
      </c>
      <c r="D66" t="inlineStr">
        <is>
          <t>Entrada</t>
        </is>
      </c>
      <c r="E66" s="16" t="n">
        <v>412.64</v>
      </c>
      <c r="F66" t="inlineStr">
        <is>
          <t>Pendente</t>
        </is>
      </c>
    </row>
    <row r="67">
      <c r="A67" s="15" t="n">
        <v>46167</v>
      </c>
      <c r="B67" t="inlineStr">
        <is>
          <t>Entrada - Cliente B</t>
        </is>
      </c>
      <c r="C67" t="inlineStr">
        <is>
          <t>Venda de Serviço</t>
        </is>
      </c>
      <c r="D67" t="inlineStr">
        <is>
          <t>Entrada</t>
        </is>
      </c>
      <c r="E67" s="16" t="n">
        <v>873.24</v>
      </c>
      <c r="F67" t="inlineStr">
        <is>
          <t>Pago</t>
        </is>
      </c>
    </row>
    <row r="68">
      <c r="A68" s="15" t="n">
        <v>46167</v>
      </c>
      <c r="B68" t="inlineStr">
        <is>
          <t>Entrada - Cliente C</t>
        </is>
      </c>
      <c r="C68" t="inlineStr">
        <is>
          <t>Venda de Serviço</t>
        </is>
      </c>
      <c r="D68" t="inlineStr">
        <is>
          <t>Entrada</t>
        </is>
      </c>
      <c r="E68" s="16" t="n">
        <v>998.13</v>
      </c>
      <c r="F68" t="inlineStr">
        <is>
          <t>Pendente</t>
        </is>
      </c>
    </row>
    <row r="69">
      <c r="A69" s="15" t="n">
        <v>46167</v>
      </c>
      <c r="B69" t="inlineStr">
        <is>
          <t>Saída - Fornecedor Z</t>
        </is>
      </c>
      <c r="C69" t="inlineStr">
        <is>
          <t>Imposto</t>
        </is>
      </c>
      <c r="D69" t="inlineStr">
        <is>
          <t>Saída</t>
        </is>
      </c>
      <c r="E69" s="16" t="n">
        <v>4333.04</v>
      </c>
      <c r="F69" t="inlineStr">
        <is>
          <t>Pendente</t>
        </is>
      </c>
    </row>
    <row r="70">
      <c r="A70" s="15" t="n">
        <v>46169</v>
      </c>
      <c r="B70" t="inlineStr">
        <is>
          <t>Saída - Fornecedor Z</t>
        </is>
      </c>
      <c r="C70" t="inlineStr">
        <is>
          <t>Fornecedor</t>
        </is>
      </c>
      <c r="D70" t="inlineStr">
        <is>
          <t>Saída</t>
        </is>
      </c>
      <c r="E70" s="16" t="n">
        <v>2468.46</v>
      </c>
      <c r="F70" t="inlineStr">
        <is>
          <t>Atrasado</t>
        </is>
      </c>
    </row>
    <row r="71">
      <c r="A71" s="15" t="n">
        <v>46170</v>
      </c>
      <c r="B71" t="inlineStr">
        <is>
          <t>Entrada - Cliente A</t>
        </is>
      </c>
      <c r="C71" t="inlineStr">
        <is>
          <t>Venda de Serviço</t>
        </is>
      </c>
      <c r="D71" t="inlineStr">
        <is>
          <t>Entrada</t>
        </is>
      </c>
      <c r="E71" s="16" t="n">
        <v>3827.39</v>
      </c>
      <c r="F71" t="inlineStr">
        <is>
          <t>Atrasado</t>
        </is>
      </c>
    </row>
    <row r="72">
      <c r="A72" s="15" t="n">
        <v>46172</v>
      </c>
      <c r="B72" t="inlineStr">
        <is>
          <t>Entrada - Cliente C</t>
        </is>
      </c>
      <c r="C72" t="inlineStr">
        <is>
          <t>Venda de Serviço</t>
        </is>
      </c>
      <c r="D72" t="inlineStr">
        <is>
          <t>Entrada</t>
        </is>
      </c>
      <c r="E72" s="16" t="n">
        <v>3305.42</v>
      </c>
      <c r="F72" t="inlineStr">
        <is>
          <t>Não informado</t>
        </is>
      </c>
    </row>
    <row r="73">
      <c r="A73" s="15" t="n">
        <v>46173</v>
      </c>
      <c r="B73" t="inlineStr">
        <is>
          <t>Saída - Fornecedor X</t>
        </is>
      </c>
      <c r="C73" t="inlineStr">
        <is>
          <t>Aluguel</t>
        </is>
      </c>
      <c r="D73" t="inlineStr">
        <is>
          <t>Saída</t>
        </is>
      </c>
      <c r="E73" s="16" t="n">
        <v>4648.64</v>
      </c>
      <c r="F73" t="inlineStr">
        <is>
          <t>Atrasado</t>
        </is>
      </c>
    </row>
    <row r="74">
      <c r="A74" s="15" t="n">
        <v>46174</v>
      </c>
      <c r="B74" t="inlineStr">
        <is>
          <t>Saída - Fornecedor Y</t>
        </is>
      </c>
      <c r="C74" t="inlineStr">
        <is>
          <t>Marketing</t>
        </is>
      </c>
      <c r="D74" t="inlineStr">
        <is>
          <t>Saída</t>
        </is>
      </c>
      <c r="E74" s="16" t="n">
        <v>2781.99</v>
      </c>
      <c r="F74" t="inlineStr">
        <is>
          <t>Pendente</t>
        </is>
      </c>
    </row>
    <row r="75">
      <c r="A75" s="15" t="n">
        <v>46174</v>
      </c>
      <c r="B75" t="inlineStr">
        <is>
          <t>Entrada - Cliente A</t>
        </is>
      </c>
      <c r="C75" t="inlineStr">
        <is>
          <t>Venda de Serviço</t>
        </is>
      </c>
      <c r="D75" t="inlineStr">
        <is>
          <t>Entrada</t>
        </is>
      </c>
      <c r="E75" s="16" t="n">
        <v>2809.16</v>
      </c>
      <c r="F75" t="inlineStr">
        <is>
          <t>Pago</t>
        </is>
      </c>
    </row>
    <row r="76">
      <c r="A76" s="15" t="n">
        <v>46175</v>
      </c>
      <c r="B76" t="inlineStr">
        <is>
          <t>Entrada - Cliente B</t>
        </is>
      </c>
      <c r="C76" t="inlineStr">
        <is>
          <t>Venda de Serviço</t>
        </is>
      </c>
      <c r="D76" t="inlineStr">
        <is>
          <t>Entrada</t>
        </is>
      </c>
      <c r="E76" s="16" t="n">
        <v>3889.68</v>
      </c>
      <c r="F76" t="inlineStr">
        <is>
          <t>Pendente</t>
        </is>
      </c>
    </row>
    <row r="77">
      <c r="A77" s="15" t="n">
        <v>46176</v>
      </c>
      <c r="B77" t="inlineStr">
        <is>
          <t>Entrada - Cliente C</t>
        </is>
      </c>
      <c r="C77" t="inlineStr">
        <is>
          <t>Venda de Serviço</t>
        </is>
      </c>
      <c r="D77" t="inlineStr">
        <is>
          <t>Entrada</t>
        </is>
      </c>
      <c r="E77" s="16" t="n">
        <v>998.37</v>
      </c>
      <c r="F77" t="inlineStr">
        <is>
          <t>Pago</t>
        </is>
      </c>
    </row>
    <row r="78">
      <c r="A78" s="15" t="n">
        <v>46179</v>
      </c>
      <c r="B78" t="inlineStr">
        <is>
          <t>Entrada - Cliente B</t>
        </is>
      </c>
      <c r="C78" t="inlineStr">
        <is>
          <t>Venda de Serviço</t>
        </is>
      </c>
      <c r="D78" t="inlineStr">
        <is>
          <t>Entrada</t>
        </is>
      </c>
      <c r="E78" s="16" t="n">
        <v>2466.74</v>
      </c>
      <c r="F78" t="inlineStr">
        <is>
          <t>Pendente</t>
        </is>
      </c>
    </row>
    <row r="79">
      <c r="A79" s="15" t="n">
        <v>46179</v>
      </c>
      <c r="B79" t="inlineStr">
        <is>
          <t>Saída - Fornecedor Z</t>
        </is>
      </c>
      <c r="C79" t="inlineStr">
        <is>
          <t>Fornecedor</t>
        </is>
      </c>
      <c r="D79" t="inlineStr">
        <is>
          <t>Saída</t>
        </is>
      </c>
      <c r="E79" s="16" t="n">
        <v>4584.56</v>
      </c>
      <c r="F79" t="inlineStr">
        <is>
          <t>Atrasado</t>
        </is>
      </c>
    </row>
    <row r="80">
      <c r="A80" s="15" t="n">
        <v>46180</v>
      </c>
      <c r="B80" t="inlineStr">
        <is>
          <t>Entrada - Cliente A</t>
        </is>
      </c>
      <c r="C80" t="inlineStr">
        <is>
          <t>Venda de Serviço</t>
        </is>
      </c>
      <c r="D80" t="inlineStr">
        <is>
          <t>Entrada</t>
        </is>
      </c>
      <c r="E80" s="16" t="n">
        <v>1554.18</v>
      </c>
      <c r="F80" t="inlineStr">
        <is>
          <t>Atrasado</t>
        </is>
      </c>
    </row>
    <row r="81">
      <c r="A81" s="15" t="n">
        <v>46182</v>
      </c>
      <c r="B81" t="inlineStr">
        <is>
          <t>Entrada - Cliente B</t>
        </is>
      </c>
      <c r="C81" t="inlineStr">
        <is>
          <t>Venda de Serviço</t>
        </is>
      </c>
      <c r="D81" t="inlineStr">
        <is>
          <t>Entrada</t>
        </is>
      </c>
      <c r="E81" s="16" t="n">
        <v>3311.96</v>
      </c>
      <c r="F81" t="inlineStr">
        <is>
          <t>Pendente</t>
        </is>
      </c>
    </row>
    <row r="82">
      <c r="A82" s="15" t="n">
        <v>46182</v>
      </c>
      <c r="B82" t="inlineStr">
        <is>
          <t>Entrada - Cliente A</t>
        </is>
      </c>
      <c r="C82" t="inlineStr">
        <is>
          <t>Venda de Serviço</t>
        </is>
      </c>
      <c r="D82" t="inlineStr">
        <is>
          <t>Entrada</t>
        </is>
      </c>
      <c r="E82" s="16" t="n">
        <v>4468.67</v>
      </c>
      <c r="F82" t="inlineStr">
        <is>
          <t>Não informado</t>
        </is>
      </c>
    </row>
    <row r="83">
      <c r="A83" s="15" t="n">
        <v>46182</v>
      </c>
      <c r="B83" t="inlineStr">
        <is>
          <t>Saída - Fornecedor Y</t>
        </is>
      </c>
      <c r="C83" t="inlineStr">
        <is>
          <t>Imposto</t>
        </is>
      </c>
      <c r="D83" t="inlineStr">
        <is>
          <t>Saída</t>
        </is>
      </c>
      <c r="E83" s="16" t="n">
        <v>4636.26</v>
      </c>
      <c r="F83" t="inlineStr">
        <is>
          <t>Atrasado</t>
        </is>
      </c>
    </row>
    <row r="84">
      <c r="A84" s="15" t="n">
        <v>46183</v>
      </c>
      <c r="B84" t="inlineStr">
        <is>
          <t>Saída - Fornecedor Y</t>
        </is>
      </c>
      <c r="C84" t="inlineStr">
        <is>
          <t>Imposto</t>
        </is>
      </c>
      <c r="D84" t="inlineStr">
        <is>
          <t>Saída</t>
        </is>
      </c>
      <c r="E84" s="16" t="n">
        <v>1667.89</v>
      </c>
      <c r="F84" t="inlineStr">
        <is>
          <t>Pendente</t>
        </is>
      </c>
    </row>
    <row r="85">
      <c r="A85" s="15" t="n">
        <v>46184</v>
      </c>
      <c r="B85" t="inlineStr">
        <is>
          <t>Entrada - Cliente B</t>
        </is>
      </c>
      <c r="C85" t="inlineStr">
        <is>
          <t>Venda de Serviço</t>
        </is>
      </c>
      <c r="D85" t="inlineStr">
        <is>
          <t>Entrada</t>
        </is>
      </c>
      <c r="E85" s="16" t="n">
        <v>4326.93</v>
      </c>
      <c r="F85" t="inlineStr">
        <is>
          <t>Pendente</t>
        </is>
      </c>
    </row>
    <row r="86">
      <c r="A86" s="15" t="n">
        <v>46185</v>
      </c>
      <c r="B86" t="inlineStr">
        <is>
          <t>Saída - Fornecedor Y</t>
        </is>
      </c>
      <c r="C86" t="inlineStr">
        <is>
          <t>Fornecedor</t>
        </is>
      </c>
      <c r="D86" t="inlineStr">
        <is>
          <t>Saída</t>
        </is>
      </c>
      <c r="E86" s="16" t="n">
        <v>3367.16</v>
      </c>
      <c r="F86" t="inlineStr">
        <is>
          <t>Atrasado</t>
        </is>
      </c>
    </row>
    <row r="87">
      <c r="A87" s="15" t="n">
        <v>46186</v>
      </c>
      <c r="B87" t="inlineStr">
        <is>
          <t>Saída - Fornecedor Y</t>
        </is>
      </c>
      <c r="C87" t="inlineStr">
        <is>
          <t>Imposto</t>
        </is>
      </c>
      <c r="D87" t="inlineStr">
        <is>
          <t>Saída</t>
        </is>
      </c>
      <c r="E87" s="16" t="n">
        <v>4846.82</v>
      </c>
      <c r="F87" t="inlineStr">
        <is>
          <t>Pendente</t>
        </is>
      </c>
    </row>
    <row r="88">
      <c r="A88" s="15" t="n">
        <v>46187</v>
      </c>
      <c r="B88" t="inlineStr">
        <is>
          <t>Entrada - Cliente B</t>
        </is>
      </c>
      <c r="C88" t="inlineStr">
        <is>
          <t>Venda de Serviço</t>
        </is>
      </c>
      <c r="D88" t="inlineStr">
        <is>
          <t>Entrada</t>
        </is>
      </c>
      <c r="E88" s="16" t="n">
        <v>3096.8</v>
      </c>
      <c r="F88" t="inlineStr">
        <is>
          <t>Não informado</t>
        </is>
      </c>
    </row>
    <row r="89">
      <c r="A89" s="15" t="n">
        <v>46188</v>
      </c>
      <c r="B89" t="inlineStr">
        <is>
          <t>Saída - Fornecedor Z</t>
        </is>
      </c>
      <c r="C89" t="inlineStr">
        <is>
          <t>Imposto</t>
        </is>
      </c>
      <c r="D89" t="inlineStr">
        <is>
          <t>Saída</t>
        </is>
      </c>
      <c r="E89" s="16" t="n">
        <v>3747.72</v>
      </c>
      <c r="F89" t="inlineStr">
        <is>
          <t>Pendente</t>
        </is>
      </c>
    </row>
    <row r="90">
      <c r="A90" s="15" t="n">
        <v>46188</v>
      </c>
      <c r="B90" t="inlineStr">
        <is>
          <t>Entrada - Cliente A</t>
        </is>
      </c>
      <c r="C90" t="inlineStr">
        <is>
          <t>Venda de Serviço</t>
        </is>
      </c>
      <c r="D90" t="inlineStr">
        <is>
          <t>Entrada</t>
        </is>
      </c>
      <c r="E90" s="16" t="n">
        <v>167.14</v>
      </c>
      <c r="F90" t="inlineStr">
        <is>
          <t>Pendente</t>
        </is>
      </c>
    </row>
    <row r="91">
      <c r="A91" s="15" t="n">
        <v>46191</v>
      </c>
      <c r="B91" t="inlineStr">
        <is>
          <t>Entrada - Cliente B</t>
        </is>
      </c>
      <c r="C91" t="inlineStr">
        <is>
          <t>Venda de Serviço</t>
        </is>
      </c>
      <c r="D91" t="inlineStr">
        <is>
          <t>Entrada</t>
        </is>
      </c>
      <c r="E91" s="16" t="n">
        <v>4716.57</v>
      </c>
      <c r="F91" t="inlineStr">
        <is>
          <t>Não informado</t>
        </is>
      </c>
    </row>
    <row r="92">
      <c r="A92" s="15" t="n">
        <v>46191</v>
      </c>
      <c r="B92" t="inlineStr">
        <is>
          <t>Saída - Fornecedor Y</t>
        </is>
      </c>
      <c r="C92" t="inlineStr">
        <is>
          <t>Fornecedor</t>
        </is>
      </c>
      <c r="D92" t="inlineStr">
        <is>
          <t>Saída</t>
        </is>
      </c>
      <c r="E92" s="16" t="n">
        <v>2108.08</v>
      </c>
      <c r="F92" t="inlineStr">
        <is>
          <t>Atrasado</t>
        </is>
      </c>
    </row>
    <row r="93">
      <c r="A93" s="15" t="n">
        <v>46193</v>
      </c>
      <c r="B93" t="inlineStr">
        <is>
          <t>Saída - Fornecedor X</t>
        </is>
      </c>
      <c r="C93" t="inlineStr">
        <is>
          <t>Fornecedor</t>
        </is>
      </c>
      <c r="D93" t="inlineStr">
        <is>
          <t>Saída</t>
        </is>
      </c>
      <c r="E93" s="16" t="n">
        <v>4926.85</v>
      </c>
      <c r="F93" t="inlineStr">
        <is>
          <t>Pendente</t>
        </is>
      </c>
    </row>
    <row r="94">
      <c r="A94" s="15" t="n">
        <v>46193</v>
      </c>
      <c r="B94" t="inlineStr">
        <is>
          <t>Entrada - Cliente A</t>
        </is>
      </c>
      <c r="C94" t="inlineStr">
        <is>
          <t>Venda de Serviço</t>
        </is>
      </c>
      <c r="D94" t="inlineStr">
        <is>
          <t>Entrada</t>
        </is>
      </c>
      <c r="E94" s="16" t="n">
        <v>3947.5</v>
      </c>
      <c r="F94" t="inlineStr">
        <is>
          <t>Pago</t>
        </is>
      </c>
    </row>
    <row r="95">
      <c r="A95" s="15" t="n">
        <v>46193</v>
      </c>
      <c r="B95" t="inlineStr">
        <is>
          <t>Entrada - Cliente C</t>
        </is>
      </c>
      <c r="C95" t="inlineStr">
        <is>
          <t>Venda de Serviço</t>
        </is>
      </c>
      <c r="D95" t="inlineStr">
        <is>
          <t>Entrada</t>
        </is>
      </c>
      <c r="E95" s="16" t="n">
        <v>4290.82</v>
      </c>
      <c r="F95" t="inlineStr">
        <is>
          <t>Pendente</t>
        </is>
      </c>
    </row>
    <row r="96">
      <c r="A96" s="15" t="n">
        <v>46193</v>
      </c>
      <c r="B96" t="inlineStr">
        <is>
          <t>Entrada - Cliente C</t>
        </is>
      </c>
      <c r="C96" t="inlineStr">
        <is>
          <t>Venda de Serviço</t>
        </is>
      </c>
      <c r="D96" t="inlineStr">
        <is>
          <t>Entrada</t>
        </is>
      </c>
      <c r="E96" s="16" t="n">
        <v>999.61</v>
      </c>
      <c r="F96" t="inlineStr">
        <is>
          <t>Atrasado</t>
        </is>
      </c>
    </row>
    <row r="97">
      <c r="A97" s="15" t="n">
        <v>46196</v>
      </c>
      <c r="B97" t="inlineStr">
        <is>
          <t>Entrada - Cliente B</t>
        </is>
      </c>
      <c r="C97" t="inlineStr">
        <is>
          <t>Venda de Serviço</t>
        </is>
      </c>
      <c r="D97" t="inlineStr">
        <is>
          <t>Entrada</t>
        </is>
      </c>
      <c r="E97" s="16" t="n">
        <v>2351.92</v>
      </c>
      <c r="F97" t="inlineStr">
        <is>
          <t>Pago</t>
        </is>
      </c>
    </row>
    <row r="98">
      <c r="A98" s="15" t="n">
        <v>46196</v>
      </c>
      <c r="B98" t="inlineStr">
        <is>
          <t>Saída - Fornecedor X</t>
        </is>
      </c>
      <c r="C98" t="inlineStr">
        <is>
          <t>Salário</t>
        </is>
      </c>
      <c r="D98" t="inlineStr">
        <is>
          <t>Saída</t>
        </is>
      </c>
      <c r="E98" s="16" t="n">
        <v>3196.64</v>
      </c>
      <c r="F98" t="inlineStr">
        <is>
          <t>Não informado</t>
        </is>
      </c>
    </row>
    <row r="99">
      <c r="A99" s="15" t="n">
        <v>46202</v>
      </c>
      <c r="B99" t="inlineStr">
        <is>
          <t>Entrada - Cliente B</t>
        </is>
      </c>
      <c r="C99" t="inlineStr">
        <is>
          <t>Venda de Serviço</t>
        </is>
      </c>
      <c r="D99" t="inlineStr">
        <is>
          <t>Entrada</t>
        </is>
      </c>
      <c r="E99" s="16" t="n">
        <v>1930.64</v>
      </c>
      <c r="F99" t="inlineStr">
        <is>
          <t>Atrasado</t>
        </is>
      </c>
    </row>
    <row r="100">
      <c r="A100" s="15" t="n">
        <v>46203</v>
      </c>
      <c r="B100" t="inlineStr">
        <is>
          <t>Entrada - Cliente B</t>
        </is>
      </c>
      <c r="C100" t="inlineStr">
        <is>
          <t>Venda de Serviço</t>
        </is>
      </c>
      <c r="D100" t="inlineStr">
        <is>
          <t>Entrada</t>
        </is>
      </c>
      <c r="E100" s="16" t="n">
        <v>1806.38</v>
      </c>
      <c r="F100" t="inlineStr">
        <is>
          <t>Pendente</t>
        </is>
      </c>
    </row>
    <row r="101">
      <c r="A101" s="15" t="n">
        <v>46204</v>
      </c>
      <c r="B101" t="inlineStr">
        <is>
          <t>Saída - Fornecedor X</t>
        </is>
      </c>
      <c r="C101" t="inlineStr">
        <is>
          <t>Fornecedor</t>
        </is>
      </c>
      <c r="D101" t="inlineStr">
        <is>
          <t>Saída</t>
        </is>
      </c>
      <c r="E101" s="16" t="n">
        <v>1734.24</v>
      </c>
      <c r="F101" t="inlineStr">
        <is>
          <t>Pago</t>
        </is>
      </c>
    </row>
    <row r="102">
      <c r="A102" s="15" t="n">
        <v>46204</v>
      </c>
      <c r="B102" t="inlineStr">
        <is>
          <t>Entrada - Cliente C</t>
        </is>
      </c>
      <c r="C102" t="inlineStr">
        <is>
          <t>Venda de Serviço</t>
        </is>
      </c>
      <c r="D102" t="inlineStr">
        <is>
          <t>Entrada</t>
        </is>
      </c>
      <c r="E102" s="16" t="n">
        <v>350.03</v>
      </c>
      <c r="F102" t="inlineStr">
        <is>
          <t>Pago</t>
        </is>
      </c>
    </row>
    <row r="103">
      <c r="A103" s="15" t="n">
        <v>46204</v>
      </c>
      <c r="B103" t="inlineStr">
        <is>
          <t>Entrada - Cliente B</t>
        </is>
      </c>
      <c r="C103" t="inlineStr">
        <is>
          <t>Venda de Serviço</t>
        </is>
      </c>
      <c r="D103" t="inlineStr">
        <is>
          <t>Entrada</t>
        </is>
      </c>
      <c r="E103" s="16" t="n">
        <v>2373.98</v>
      </c>
      <c r="F103" t="inlineStr">
        <is>
          <t>Atrasado</t>
        </is>
      </c>
    </row>
    <row r="104">
      <c r="A104" s="15" t="n">
        <v>46205</v>
      </c>
      <c r="B104" t="inlineStr">
        <is>
          <t>Saída - Fornecedor X</t>
        </is>
      </c>
      <c r="C104" t="inlineStr">
        <is>
          <t>Aluguel</t>
        </is>
      </c>
      <c r="D104" t="inlineStr">
        <is>
          <t>Saída</t>
        </is>
      </c>
      <c r="E104" s="16" t="n">
        <v>4155.27</v>
      </c>
      <c r="F104" t="inlineStr">
        <is>
          <t>Pago</t>
        </is>
      </c>
    </row>
    <row r="105">
      <c r="A105" s="15" t="n">
        <v>46205</v>
      </c>
      <c r="B105" t="inlineStr">
        <is>
          <t>Saída - Fornecedor Z</t>
        </is>
      </c>
      <c r="C105" t="inlineStr">
        <is>
          <t>Manutenção</t>
        </is>
      </c>
      <c r="D105" t="inlineStr">
        <is>
          <t>Saída</t>
        </is>
      </c>
      <c r="E105" s="16" t="n">
        <v>2601.49</v>
      </c>
      <c r="F105" t="inlineStr">
        <is>
          <t>Pago</t>
        </is>
      </c>
    </row>
    <row r="106">
      <c r="A106" s="15" t="n">
        <v>46206</v>
      </c>
      <c r="B106" t="inlineStr">
        <is>
          <t>Entrada - Cliente A</t>
        </is>
      </c>
      <c r="C106" t="inlineStr">
        <is>
          <t>Venda de Serviço</t>
        </is>
      </c>
      <c r="D106" t="inlineStr">
        <is>
          <t>Entrada</t>
        </is>
      </c>
      <c r="E106" s="16" t="n">
        <v>1183.26</v>
      </c>
      <c r="F106" t="inlineStr">
        <is>
          <t>Pago</t>
        </is>
      </c>
    </row>
    <row r="107">
      <c r="A107" s="15" t="n">
        <v>46206</v>
      </c>
      <c r="B107" t="inlineStr">
        <is>
          <t>Entrada - Cliente B</t>
        </is>
      </c>
      <c r="C107" t="inlineStr">
        <is>
          <t>Venda de Serviço</t>
        </is>
      </c>
      <c r="D107" t="inlineStr">
        <is>
          <t>Entrada</t>
        </is>
      </c>
      <c r="E107" s="16" t="n">
        <v>367.93</v>
      </c>
      <c r="F107" t="inlineStr">
        <is>
          <t>Atrasado</t>
        </is>
      </c>
    </row>
    <row r="108">
      <c r="A108" s="15" t="n">
        <v>46207</v>
      </c>
      <c r="B108" t="inlineStr">
        <is>
          <t>Entrada - Cliente B</t>
        </is>
      </c>
      <c r="C108" t="inlineStr">
        <is>
          <t>Venda de Serviço</t>
        </is>
      </c>
      <c r="D108" t="inlineStr">
        <is>
          <t>Entrada</t>
        </is>
      </c>
      <c r="E108" s="16" t="n">
        <v>298.91</v>
      </c>
      <c r="F108" t="inlineStr">
        <is>
          <t>Pago</t>
        </is>
      </c>
    </row>
    <row r="109">
      <c r="A109" s="15" t="n">
        <v>46208</v>
      </c>
      <c r="B109" t="inlineStr">
        <is>
          <t>Entrada - Cliente C</t>
        </is>
      </c>
      <c r="C109" t="inlineStr">
        <is>
          <t>Venda de Serviço</t>
        </is>
      </c>
      <c r="D109" t="inlineStr">
        <is>
          <t>Entrada</t>
        </is>
      </c>
      <c r="E109" s="16" t="n">
        <v>4452.64</v>
      </c>
      <c r="F109" t="inlineStr">
        <is>
          <t>Atrasado</t>
        </is>
      </c>
    </row>
    <row r="110">
      <c r="A110" s="15" t="n">
        <v>46209</v>
      </c>
      <c r="B110" t="inlineStr">
        <is>
          <t>Saída - Fornecedor Z</t>
        </is>
      </c>
      <c r="C110" t="inlineStr">
        <is>
          <t>Marketing</t>
        </is>
      </c>
      <c r="D110" t="inlineStr">
        <is>
          <t>Saída</t>
        </is>
      </c>
      <c r="E110" s="16" t="n">
        <v>3354.51</v>
      </c>
      <c r="F110" t="inlineStr">
        <is>
          <t>Pendente</t>
        </is>
      </c>
    </row>
    <row r="111">
      <c r="A111" s="15" t="n">
        <v>46210</v>
      </c>
      <c r="B111" t="inlineStr">
        <is>
          <t>Saída - Fornecedor Z</t>
        </is>
      </c>
      <c r="C111" t="inlineStr">
        <is>
          <t>Fornecedor</t>
        </is>
      </c>
      <c r="D111" t="inlineStr">
        <is>
          <t>Saída</t>
        </is>
      </c>
      <c r="E111" s="16" t="n">
        <v>4676.8</v>
      </c>
      <c r="F111" t="inlineStr">
        <is>
          <t>Pago</t>
        </is>
      </c>
    </row>
    <row r="112">
      <c r="A112" s="15" t="n">
        <v>46211</v>
      </c>
      <c r="B112" t="inlineStr">
        <is>
          <t>Entrada - Cliente A</t>
        </is>
      </c>
      <c r="C112" t="inlineStr">
        <is>
          <t>Venda de Serviço</t>
        </is>
      </c>
      <c r="D112" t="inlineStr">
        <is>
          <t>Entrada</t>
        </is>
      </c>
      <c r="E112" s="16" t="n">
        <v>3900.07</v>
      </c>
      <c r="F112" t="inlineStr">
        <is>
          <t>Pago</t>
        </is>
      </c>
    </row>
    <row r="113">
      <c r="A113" s="15" t="n">
        <v>46212</v>
      </c>
      <c r="B113" t="inlineStr">
        <is>
          <t>Saída - Fornecedor Y</t>
        </is>
      </c>
      <c r="C113" t="inlineStr">
        <is>
          <t>Imposto</t>
        </is>
      </c>
      <c r="D113" t="inlineStr">
        <is>
          <t>Saída</t>
        </is>
      </c>
      <c r="E113" s="16" t="n">
        <v>1151.05</v>
      </c>
      <c r="F113" t="inlineStr">
        <is>
          <t>Pago</t>
        </is>
      </c>
    </row>
    <row r="114">
      <c r="A114" s="15" t="n">
        <v>46213</v>
      </c>
      <c r="B114" t="inlineStr">
        <is>
          <t>Saída - Fornecedor Z</t>
        </is>
      </c>
      <c r="C114" t="inlineStr">
        <is>
          <t>Marketing</t>
        </is>
      </c>
      <c r="D114" t="inlineStr">
        <is>
          <t>Saída</t>
        </is>
      </c>
      <c r="E114" s="16" t="n">
        <v>830.85</v>
      </c>
      <c r="F114" t="inlineStr">
        <is>
          <t>Atrasado</t>
        </is>
      </c>
    </row>
    <row r="115">
      <c r="A115" s="15" t="n">
        <v>46214</v>
      </c>
      <c r="B115" t="inlineStr">
        <is>
          <t>Entrada - Cliente C</t>
        </is>
      </c>
      <c r="C115" t="inlineStr">
        <is>
          <t>Venda de Serviço</t>
        </is>
      </c>
      <c r="D115" t="inlineStr">
        <is>
          <t>Entrada</t>
        </is>
      </c>
      <c r="E115" s="16" t="n">
        <v>3355.92</v>
      </c>
      <c r="F115" t="inlineStr">
        <is>
          <t>Atrasado</t>
        </is>
      </c>
    </row>
    <row r="116">
      <c r="A116" s="15" t="n">
        <v>46214</v>
      </c>
      <c r="B116" t="inlineStr">
        <is>
          <t>Saída - Fornecedor Z</t>
        </is>
      </c>
      <c r="C116" t="inlineStr">
        <is>
          <t>Manutenção</t>
        </is>
      </c>
      <c r="D116" t="inlineStr">
        <is>
          <t>Saída</t>
        </is>
      </c>
      <c r="E116" s="16" t="n">
        <v>2009.14</v>
      </c>
      <c r="F116" t="inlineStr">
        <is>
          <t>Pendente</t>
        </is>
      </c>
    </row>
    <row r="117">
      <c r="A117" s="15" t="n">
        <v>46214</v>
      </c>
      <c r="B117" t="inlineStr">
        <is>
          <t>Saída - Fornecedor Z</t>
        </is>
      </c>
      <c r="C117" t="inlineStr">
        <is>
          <t>Salário</t>
        </is>
      </c>
      <c r="D117" t="inlineStr">
        <is>
          <t>Saída</t>
        </is>
      </c>
      <c r="E117" s="16" t="n">
        <v>4111.72</v>
      </c>
      <c r="F117" t="inlineStr">
        <is>
          <t>Atrasado</t>
        </is>
      </c>
    </row>
    <row r="118">
      <c r="A118" s="15" t="n">
        <v>46214</v>
      </c>
      <c r="B118" t="inlineStr">
        <is>
          <t>Saída - Fornecedor Z</t>
        </is>
      </c>
      <c r="C118" t="inlineStr">
        <is>
          <t>Aluguel</t>
        </is>
      </c>
      <c r="D118" t="inlineStr">
        <is>
          <t>Saída</t>
        </is>
      </c>
      <c r="E118" s="16" t="n">
        <v>3333.77</v>
      </c>
      <c r="F118" t="inlineStr">
        <is>
          <t>Atrasado</t>
        </is>
      </c>
    </row>
    <row r="119">
      <c r="A119" s="15" t="n">
        <v>46215</v>
      </c>
      <c r="B119" t="inlineStr">
        <is>
          <t>Saída - Fornecedor X</t>
        </is>
      </c>
      <c r="C119" t="inlineStr">
        <is>
          <t>Aluguel</t>
        </is>
      </c>
      <c r="D119" t="inlineStr">
        <is>
          <t>Saída</t>
        </is>
      </c>
      <c r="E119" s="16" t="n">
        <v>2268.46</v>
      </c>
      <c r="F119" t="inlineStr">
        <is>
          <t>Pago</t>
        </is>
      </c>
    </row>
    <row r="120">
      <c r="A120" s="15" t="n">
        <v>46215</v>
      </c>
      <c r="B120" t="inlineStr">
        <is>
          <t>Saída - Fornecedor X</t>
        </is>
      </c>
      <c r="C120" t="inlineStr">
        <is>
          <t>Salário</t>
        </is>
      </c>
      <c r="D120" t="inlineStr">
        <is>
          <t>Saída</t>
        </is>
      </c>
      <c r="E120" s="16" t="n">
        <v>3854.56</v>
      </c>
      <c r="F120" t="inlineStr">
        <is>
          <t>Pendente</t>
        </is>
      </c>
    </row>
    <row r="121">
      <c r="A121" s="15" t="n">
        <v>46216</v>
      </c>
      <c r="B121" t="inlineStr">
        <is>
          <t>Saída - Fornecedor Z</t>
        </is>
      </c>
      <c r="C121" t="inlineStr">
        <is>
          <t>Aluguel</t>
        </is>
      </c>
      <c r="D121" t="inlineStr">
        <is>
          <t>Saída</t>
        </is>
      </c>
      <c r="E121" s="16" t="n">
        <v>275.3</v>
      </c>
      <c r="F121" t="inlineStr">
        <is>
          <t>Atrasado</t>
        </is>
      </c>
    </row>
    <row r="122">
      <c r="A122" s="15" t="n">
        <v>46216</v>
      </c>
      <c r="B122" t="inlineStr">
        <is>
          <t>Entrada - Cliente C</t>
        </is>
      </c>
      <c r="C122" t="inlineStr">
        <is>
          <t>Venda de Serviço</t>
        </is>
      </c>
      <c r="D122" t="inlineStr">
        <is>
          <t>Entrada</t>
        </is>
      </c>
      <c r="E122" s="16" t="n">
        <v>2516.96</v>
      </c>
      <c r="F122" t="inlineStr">
        <is>
          <t>Atrasado</t>
        </is>
      </c>
    </row>
    <row r="123">
      <c r="A123" s="15" t="n">
        <v>46217</v>
      </c>
      <c r="B123" t="inlineStr">
        <is>
          <t>Entrada - Cliente C</t>
        </is>
      </c>
      <c r="C123" t="inlineStr">
        <is>
          <t>Venda de Serviço</t>
        </is>
      </c>
      <c r="D123" t="inlineStr">
        <is>
          <t>Entrada</t>
        </is>
      </c>
      <c r="E123" s="16" t="n">
        <v>1212.11</v>
      </c>
      <c r="F123" t="inlineStr">
        <is>
          <t>Pago</t>
        </is>
      </c>
    </row>
    <row r="124">
      <c r="A124" s="15" t="n">
        <v>46219</v>
      </c>
      <c r="B124" t="inlineStr">
        <is>
          <t>Entrada - Cliente A</t>
        </is>
      </c>
      <c r="C124" t="inlineStr">
        <is>
          <t>Venda de Serviço</t>
        </is>
      </c>
      <c r="D124" t="inlineStr">
        <is>
          <t>Entrada</t>
        </is>
      </c>
      <c r="E124" s="16" t="n">
        <v>4162.12</v>
      </c>
      <c r="F124" t="inlineStr">
        <is>
          <t>Pendente</t>
        </is>
      </c>
    </row>
    <row r="125">
      <c r="A125" s="15" t="n">
        <v>46220</v>
      </c>
      <c r="B125" t="inlineStr">
        <is>
          <t>Saída - Fornecedor Z</t>
        </is>
      </c>
      <c r="C125" t="inlineStr">
        <is>
          <t>Fornecedor</t>
        </is>
      </c>
      <c r="D125" t="inlineStr">
        <is>
          <t>Saída</t>
        </is>
      </c>
      <c r="E125" s="16" t="n">
        <v>2277.85</v>
      </c>
      <c r="F125" t="inlineStr">
        <is>
          <t>Atrasado</t>
        </is>
      </c>
    </row>
    <row r="126">
      <c r="A126" s="15" t="n">
        <v>46221</v>
      </c>
      <c r="B126" t="inlineStr">
        <is>
          <t>Entrada - Cliente A</t>
        </is>
      </c>
      <c r="C126" t="inlineStr">
        <is>
          <t>Venda de Serviço</t>
        </is>
      </c>
      <c r="D126" t="inlineStr">
        <is>
          <t>Entrada</t>
        </is>
      </c>
      <c r="E126" s="16" t="n">
        <v>3724.96</v>
      </c>
      <c r="F126" t="inlineStr">
        <is>
          <t>Pendente</t>
        </is>
      </c>
    </row>
    <row r="127">
      <c r="A127" s="15" t="n">
        <v>46221</v>
      </c>
      <c r="B127" t="inlineStr">
        <is>
          <t>Entrada - Cliente B</t>
        </is>
      </c>
      <c r="C127" t="inlineStr">
        <is>
          <t>Venda de Serviço</t>
        </is>
      </c>
      <c r="D127" t="inlineStr">
        <is>
          <t>Entrada</t>
        </is>
      </c>
      <c r="E127" s="16" t="n">
        <v>858.84</v>
      </c>
      <c r="F127" t="inlineStr">
        <is>
          <t>Atrasado</t>
        </is>
      </c>
    </row>
    <row r="128">
      <c r="A128" s="15" t="n">
        <v>46221</v>
      </c>
      <c r="B128" t="inlineStr">
        <is>
          <t>Entrada - Cliente C</t>
        </is>
      </c>
      <c r="C128" t="inlineStr">
        <is>
          <t>Venda de Serviço</t>
        </is>
      </c>
      <c r="D128" t="inlineStr">
        <is>
          <t>Entrada</t>
        </is>
      </c>
      <c r="E128" s="16" t="n">
        <v>3682.29</v>
      </c>
      <c r="F128" t="inlineStr">
        <is>
          <t>Atrasado</t>
        </is>
      </c>
    </row>
    <row r="129">
      <c r="A129" s="15" t="n">
        <v>46222</v>
      </c>
      <c r="B129" t="inlineStr">
        <is>
          <t>Entrada - Cliente C</t>
        </is>
      </c>
      <c r="C129" t="inlineStr">
        <is>
          <t>Venda de Serviço</t>
        </is>
      </c>
      <c r="D129" t="inlineStr">
        <is>
          <t>Entrada</t>
        </is>
      </c>
      <c r="E129" s="16" t="n">
        <v>4997.88</v>
      </c>
      <c r="F129" t="inlineStr">
        <is>
          <t>Atrasado</t>
        </is>
      </c>
    </row>
    <row r="130">
      <c r="A130" s="15" t="n">
        <v>46222</v>
      </c>
      <c r="B130" t="inlineStr">
        <is>
          <t>Saída - Fornecedor Z</t>
        </is>
      </c>
      <c r="C130" t="inlineStr">
        <is>
          <t>Manutenção</t>
        </is>
      </c>
      <c r="D130" t="inlineStr">
        <is>
          <t>Saída</t>
        </is>
      </c>
      <c r="E130" s="16" t="n">
        <v>2351.13</v>
      </c>
      <c r="F130" t="inlineStr">
        <is>
          <t>Pendente</t>
        </is>
      </c>
    </row>
    <row r="131">
      <c r="A131" s="15" t="n">
        <v>46223</v>
      </c>
      <c r="B131" t="inlineStr">
        <is>
          <t>Entrada - Cliente A</t>
        </is>
      </c>
      <c r="C131" t="inlineStr">
        <is>
          <t>Venda de Serviço</t>
        </is>
      </c>
      <c r="D131" t="inlineStr">
        <is>
          <t>Entrada</t>
        </is>
      </c>
      <c r="E131" s="16" t="n">
        <v>4697.7</v>
      </c>
      <c r="F131" t="inlineStr">
        <is>
          <t>Pago</t>
        </is>
      </c>
    </row>
    <row r="132">
      <c r="A132" s="15" t="n">
        <v>46223</v>
      </c>
      <c r="B132" t="inlineStr">
        <is>
          <t>Entrada - Cliente C</t>
        </is>
      </c>
      <c r="C132" t="inlineStr">
        <is>
          <t>Venda de Serviço</t>
        </is>
      </c>
      <c r="D132" t="inlineStr">
        <is>
          <t>Entrada</t>
        </is>
      </c>
      <c r="E132" s="16" t="n">
        <v>2295.93</v>
      </c>
      <c r="F132" t="inlineStr">
        <is>
          <t>Atrasado</t>
        </is>
      </c>
    </row>
    <row r="133">
      <c r="A133" s="15" t="n">
        <v>46226</v>
      </c>
      <c r="B133" t="inlineStr">
        <is>
          <t>Saída - Fornecedor Z</t>
        </is>
      </c>
      <c r="C133" t="inlineStr">
        <is>
          <t>Imposto</t>
        </is>
      </c>
      <c r="D133" t="inlineStr">
        <is>
          <t>Saída</t>
        </is>
      </c>
      <c r="E133" s="16" t="n">
        <v>1939.02</v>
      </c>
      <c r="F133" t="inlineStr">
        <is>
          <t>Atrasado</t>
        </is>
      </c>
    </row>
    <row r="134">
      <c r="A134" s="15" t="n">
        <v>46226</v>
      </c>
      <c r="B134" t="inlineStr">
        <is>
          <t>Saída - Fornecedor Y</t>
        </is>
      </c>
      <c r="C134" t="inlineStr">
        <is>
          <t>Salário</t>
        </is>
      </c>
      <c r="D134" t="inlineStr">
        <is>
          <t>Saída</t>
        </is>
      </c>
      <c r="E134" s="16" t="n">
        <v>3529.13</v>
      </c>
      <c r="F134" t="inlineStr">
        <is>
          <t>Pago</t>
        </is>
      </c>
    </row>
    <row r="135">
      <c r="A135" s="15" t="n">
        <v>46227</v>
      </c>
      <c r="B135" t="inlineStr">
        <is>
          <t>Entrada - Cliente C</t>
        </is>
      </c>
      <c r="C135" t="inlineStr">
        <is>
          <t>Venda de Serviço</t>
        </is>
      </c>
      <c r="D135" t="inlineStr">
        <is>
          <t>Entrada</t>
        </is>
      </c>
      <c r="E135" s="16" t="n">
        <v>2048.69</v>
      </c>
      <c r="F135" t="inlineStr">
        <is>
          <t>Atrasado</t>
        </is>
      </c>
    </row>
    <row r="136">
      <c r="A136" s="15" t="n">
        <v>46227</v>
      </c>
      <c r="B136" t="inlineStr">
        <is>
          <t>Saída - Fornecedor Z</t>
        </is>
      </c>
      <c r="C136" t="inlineStr">
        <is>
          <t>Imposto</t>
        </is>
      </c>
      <c r="D136" t="inlineStr">
        <is>
          <t>Saída</t>
        </is>
      </c>
      <c r="E136" s="16" t="n">
        <v>3922.81</v>
      </c>
      <c r="F136" t="inlineStr">
        <is>
          <t>Pendente</t>
        </is>
      </c>
    </row>
    <row r="137">
      <c r="A137" s="15" t="n">
        <v>46228</v>
      </c>
      <c r="B137" t="inlineStr">
        <is>
          <t>Entrada - Cliente B</t>
        </is>
      </c>
      <c r="C137" t="inlineStr">
        <is>
          <t>Venda de Serviço</t>
        </is>
      </c>
      <c r="D137" t="inlineStr">
        <is>
          <t>Entrada</t>
        </is>
      </c>
      <c r="E137" s="16" t="n">
        <v>173.8</v>
      </c>
      <c r="F137" t="inlineStr">
        <is>
          <t>Pago</t>
        </is>
      </c>
    </row>
    <row r="138">
      <c r="A138" s="15" t="n">
        <v>46228</v>
      </c>
      <c r="B138" t="inlineStr">
        <is>
          <t>Entrada - Cliente A</t>
        </is>
      </c>
      <c r="C138" t="inlineStr">
        <is>
          <t>Venda de Serviço</t>
        </is>
      </c>
      <c r="D138" t="inlineStr">
        <is>
          <t>Entrada</t>
        </is>
      </c>
      <c r="E138" s="16" t="n">
        <v>4669.63</v>
      </c>
      <c r="F138" t="inlineStr">
        <is>
          <t>Pendente</t>
        </is>
      </c>
    </row>
    <row r="139">
      <c r="A139" s="15" t="n">
        <v>46228</v>
      </c>
      <c r="B139" t="inlineStr">
        <is>
          <t>Saída - Fornecedor Y</t>
        </is>
      </c>
      <c r="C139" t="inlineStr">
        <is>
          <t>Imposto</t>
        </is>
      </c>
      <c r="D139" t="inlineStr">
        <is>
          <t>Saída</t>
        </is>
      </c>
      <c r="E139" s="16" t="n">
        <v>2106.68</v>
      </c>
      <c r="F139" t="inlineStr">
        <is>
          <t>Pendente</t>
        </is>
      </c>
    </row>
    <row r="140">
      <c r="A140" s="15" t="n">
        <v>46230</v>
      </c>
      <c r="B140" t="inlineStr">
        <is>
          <t>Saída - Fornecedor X</t>
        </is>
      </c>
      <c r="C140" t="inlineStr">
        <is>
          <t>Manutenção</t>
        </is>
      </c>
      <c r="D140" t="inlineStr">
        <is>
          <t>Saída</t>
        </is>
      </c>
      <c r="E140" s="16" t="n">
        <v>4870.49</v>
      </c>
      <c r="F140" t="inlineStr">
        <is>
          <t>Pago</t>
        </is>
      </c>
    </row>
    <row r="141">
      <c r="A141" s="15" t="n">
        <v>46231</v>
      </c>
      <c r="B141" t="inlineStr">
        <is>
          <t>Saída - Fornecedor X</t>
        </is>
      </c>
      <c r="C141" t="inlineStr">
        <is>
          <t>Aluguel</t>
        </is>
      </c>
      <c r="D141" t="inlineStr">
        <is>
          <t>Saída</t>
        </is>
      </c>
      <c r="E141" s="16" t="n">
        <v>207.32</v>
      </c>
      <c r="F141" t="inlineStr">
        <is>
          <t>Atrasado</t>
        </is>
      </c>
    </row>
    <row r="142">
      <c r="A142" s="15" t="n">
        <v>46232</v>
      </c>
      <c r="B142" t="inlineStr">
        <is>
          <t>Entrada - Cliente A</t>
        </is>
      </c>
      <c r="C142" t="inlineStr">
        <is>
          <t>Venda de Serviço</t>
        </is>
      </c>
      <c r="D142" t="inlineStr">
        <is>
          <t>Entrada</t>
        </is>
      </c>
      <c r="E142" s="16" t="n">
        <v>3438.84</v>
      </c>
      <c r="F142" t="inlineStr">
        <is>
          <t>Pago</t>
        </is>
      </c>
    </row>
    <row r="143">
      <c r="A143" s="15" t="n">
        <v>46232</v>
      </c>
      <c r="B143" t="inlineStr">
        <is>
          <t>Saída - Fornecedor Y</t>
        </is>
      </c>
      <c r="C143" t="inlineStr">
        <is>
          <t>Fornecedor</t>
        </is>
      </c>
      <c r="D143" t="inlineStr">
        <is>
          <t>Saída</t>
        </is>
      </c>
      <c r="E143" s="16" t="n">
        <v>4903.53</v>
      </c>
      <c r="F143" t="inlineStr">
        <is>
          <t>Pendente</t>
        </is>
      </c>
    </row>
    <row r="144">
      <c r="A144" s="15" t="n">
        <v>46233</v>
      </c>
      <c r="B144" t="inlineStr">
        <is>
          <t>Entrada - Cliente C</t>
        </is>
      </c>
      <c r="C144" t="inlineStr">
        <is>
          <t>Venda de Serviço</t>
        </is>
      </c>
      <c r="D144" t="inlineStr">
        <is>
          <t>Entrada</t>
        </is>
      </c>
      <c r="E144" s="16" t="n">
        <v>2154.44</v>
      </c>
      <c r="F144" t="inlineStr">
        <is>
          <t>Atrasado</t>
        </is>
      </c>
    </row>
    <row r="145">
      <c r="A145" s="15" t="n">
        <v>46236</v>
      </c>
      <c r="B145" t="inlineStr">
        <is>
          <t>Entrada - Cliente B</t>
        </is>
      </c>
      <c r="C145" t="inlineStr">
        <is>
          <t>Venda de Serviço</t>
        </is>
      </c>
      <c r="D145" t="inlineStr">
        <is>
          <t>Entrada</t>
        </is>
      </c>
      <c r="E145" s="16" t="n">
        <v>1428.46</v>
      </c>
      <c r="F145" t="inlineStr">
        <is>
          <t>Atrasado</t>
        </is>
      </c>
    </row>
    <row r="146">
      <c r="A146" s="15" t="n">
        <v>46236</v>
      </c>
      <c r="B146" t="inlineStr">
        <is>
          <t>Saída - Fornecedor Y</t>
        </is>
      </c>
      <c r="C146" t="inlineStr">
        <is>
          <t>Marketing</t>
        </is>
      </c>
      <c r="D146" t="inlineStr">
        <is>
          <t>Saída</t>
        </is>
      </c>
      <c r="E146" s="16" t="n">
        <v>2661.99</v>
      </c>
      <c r="F146" t="inlineStr">
        <is>
          <t>Atrasado</t>
        </is>
      </c>
    </row>
    <row r="147">
      <c r="A147" s="15" t="n">
        <v>46236</v>
      </c>
      <c r="B147" t="inlineStr">
        <is>
          <t>Saída - Fornecedor Z</t>
        </is>
      </c>
      <c r="C147" t="inlineStr">
        <is>
          <t>Imposto</t>
        </is>
      </c>
      <c r="D147" t="inlineStr">
        <is>
          <t>Saída</t>
        </is>
      </c>
      <c r="E147" s="16" t="n">
        <v>2351.69</v>
      </c>
      <c r="F147" t="inlineStr">
        <is>
          <t>Atrasado</t>
        </is>
      </c>
    </row>
    <row r="148">
      <c r="A148" s="15" t="n">
        <v>46240</v>
      </c>
      <c r="B148" t="inlineStr">
        <is>
          <t>Entrada - Cliente A</t>
        </is>
      </c>
      <c r="C148" t="inlineStr">
        <is>
          <t>Venda de Serviço</t>
        </is>
      </c>
      <c r="D148" t="inlineStr">
        <is>
          <t>Entrada</t>
        </is>
      </c>
      <c r="E148" s="16" t="n">
        <v>3380.34</v>
      </c>
      <c r="F148" t="inlineStr">
        <is>
          <t>Pago</t>
        </is>
      </c>
    </row>
    <row r="149">
      <c r="A149" s="15" t="n">
        <v>46241</v>
      </c>
      <c r="B149" t="inlineStr">
        <is>
          <t>Saída - Fornecedor Z</t>
        </is>
      </c>
      <c r="C149" t="inlineStr">
        <is>
          <t>Manutenção</t>
        </is>
      </c>
      <c r="D149" t="inlineStr">
        <is>
          <t>Saída</t>
        </is>
      </c>
      <c r="E149" s="16" t="n">
        <v>2101.48</v>
      </c>
      <c r="F149" t="inlineStr">
        <is>
          <t>Atrasado</t>
        </is>
      </c>
    </row>
    <row r="150">
      <c r="A150" s="15" t="n">
        <v>46242</v>
      </c>
      <c r="B150" t="inlineStr">
        <is>
          <t>Entrada - Cliente C</t>
        </is>
      </c>
      <c r="C150" t="inlineStr">
        <is>
          <t>Venda de Serviço</t>
        </is>
      </c>
      <c r="D150" t="inlineStr">
        <is>
          <t>Entrada</t>
        </is>
      </c>
      <c r="E150" s="16" t="n">
        <v>1956.72</v>
      </c>
      <c r="F150" t="inlineStr">
        <is>
          <t>Pendente</t>
        </is>
      </c>
    </row>
    <row r="151">
      <c r="A151" s="15" t="n">
        <v>46242</v>
      </c>
      <c r="B151" t="inlineStr">
        <is>
          <t>Entrada - Cliente B</t>
        </is>
      </c>
      <c r="C151" t="inlineStr">
        <is>
          <t>Venda de Serviço</t>
        </is>
      </c>
      <c r="D151" t="inlineStr">
        <is>
          <t>Entrada</t>
        </is>
      </c>
      <c r="E151" s="16" t="n">
        <v>3933.87</v>
      </c>
      <c r="F151" t="inlineStr">
        <is>
          <t>Pago</t>
        </is>
      </c>
    </row>
    <row r="152">
      <c r="A152" s="15" t="n">
        <v>46243</v>
      </c>
      <c r="B152" t="inlineStr">
        <is>
          <t>Saída - Fornecedor Y</t>
        </is>
      </c>
      <c r="C152" t="inlineStr">
        <is>
          <t>Imposto</t>
        </is>
      </c>
      <c r="D152" t="inlineStr">
        <is>
          <t>Saída</t>
        </is>
      </c>
      <c r="E152" s="16" t="n">
        <v>2373.51</v>
      </c>
      <c r="F152" t="inlineStr">
        <is>
          <t>Pago</t>
        </is>
      </c>
    </row>
    <row r="153">
      <c r="A153" s="15" t="n">
        <v>46244</v>
      </c>
      <c r="B153" t="inlineStr">
        <is>
          <t>Saída - Fornecedor Y</t>
        </is>
      </c>
      <c r="C153" t="inlineStr">
        <is>
          <t>Imposto</t>
        </is>
      </c>
      <c r="D153" t="inlineStr">
        <is>
          <t>Saída</t>
        </is>
      </c>
      <c r="E153" s="16" t="n">
        <v>1715.16</v>
      </c>
      <c r="F153" t="inlineStr">
        <is>
          <t>Pendente</t>
        </is>
      </c>
    </row>
    <row r="154">
      <c r="A154" s="15" t="n">
        <v>46245</v>
      </c>
      <c r="B154" t="inlineStr">
        <is>
          <t>Entrada - Cliente A</t>
        </is>
      </c>
      <c r="C154" t="inlineStr">
        <is>
          <t>Venda de Serviço</t>
        </is>
      </c>
      <c r="D154" t="inlineStr">
        <is>
          <t>Entrada</t>
        </is>
      </c>
      <c r="E154" s="16" t="n">
        <v>4413.01</v>
      </c>
      <c r="F154" t="inlineStr">
        <is>
          <t>Atrasado</t>
        </is>
      </c>
    </row>
    <row r="155">
      <c r="A155" s="15" t="n">
        <v>46250</v>
      </c>
      <c r="B155" t="inlineStr">
        <is>
          <t>Entrada - Cliente A</t>
        </is>
      </c>
      <c r="C155" t="inlineStr">
        <is>
          <t>Venda de Serviço</t>
        </is>
      </c>
      <c r="D155" t="inlineStr">
        <is>
          <t>Entrada</t>
        </is>
      </c>
      <c r="E155" s="16" t="n">
        <v>1360</v>
      </c>
      <c r="F155" t="inlineStr">
        <is>
          <t>Pago</t>
        </is>
      </c>
    </row>
    <row r="156">
      <c r="A156" s="15" t="n">
        <v>46250</v>
      </c>
      <c r="B156" t="inlineStr">
        <is>
          <t>Saída - Fornecedor Y</t>
        </is>
      </c>
      <c r="C156" t="inlineStr">
        <is>
          <t>Marketing</t>
        </is>
      </c>
      <c r="D156" t="inlineStr">
        <is>
          <t>Saída</t>
        </is>
      </c>
      <c r="E156" s="16" t="n">
        <v>4161.32</v>
      </c>
      <c r="F156" t="inlineStr">
        <is>
          <t>Atrasado</t>
        </is>
      </c>
    </row>
    <row r="157">
      <c r="A157" s="15" t="n">
        <v>46251</v>
      </c>
      <c r="B157" t="inlineStr">
        <is>
          <t>Entrada - Cliente A</t>
        </is>
      </c>
      <c r="C157" t="inlineStr">
        <is>
          <t>Venda de Serviço</t>
        </is>
      </c>
      <c r="D157" t="inlineStr">
        <is>
          <t>Entrada</t>
        </is>
      </c>
      <c r="E157" s="16" t="n">
        <v>3791.12</v>
      </c>
      <c r="F157" t="inlineStr">
        <is>
          <t>Atrasado</t>
        </is>
      </c>
    </row>
    <row r="158">
      <c r="A158" s="15" t="n">
        <v>46251</v>
      </c>
      <c r="B158" t="inlineStr">
        <is>
          <t>Saída - Fornecedor Z</t>
        </is>
      </c>
      <c r="C158" t="inlineStr">
        <is>
          <t>Imposto</t>
        </is>
      </c>
      <c r="D158" t="inlineStr">
        <is>
          <t>Saída</t>
        </is>
      </c>
      <c r="E158" s="16" t="n">
        <v>3196.15</v>
      </c>
      <c r="F158" t="inlineStr">
        <is>
          <t>Pendente</t>
        </is>
      </c>
    </row>
    <row r="159">
      <c r="A159" s="15" t="n">
        <v>46252</v>
      </c>
      <c r="B159" t="inlineStr">
        <is>
          <t>Entrada - Cliente C</t>
        </is>
      </c>
      <c r="C159" t="inlineStr">
        <is>
          <t>Venda de Serviço</t>
        </is>
      </c>
      <c r="D159" t="inlineStr">
        <is>
          <t>Entrada</t>
        </is>
      </c>
      <c r="E159" s="16" t="n">
        <v>603.78</v>
      </c>
      <c r="F159" t="inlineStr">
        <is>
          <t>Atrasado</t>
        </is>
      </c>
    </row>
    <row r="160">
      <c r="A160" s="15" t="n">
        <v>46256</v>
      </c>
      <c r="B160" t="inlineStr">
        <is>
          <t>Entrada - Cliente B</t>
        </is>
      </c>
      <c r="C160" t="inlineStr">
        <is>
          <t>Venda de Serviço</t>
        </is>
      </c>
      <c r="D160" t="inlineStr">
        <is>
          <t>Entrada</t>
        </is>
      </c>
      <c r="E160" s="16" t="n">
        <v>465.54</v>
      </c>
      <c r="F160" t="inlineStr">
        <is>
          <t>Pendente</t>
        </is>
      </c>
    </row>
    <row r="161">
      <c r="A161" s="15" t="n">
        <v>46258</v>
      </c>
      <c r="B161" t="inlineStr">
        <is>
          <t>Entrada - Cliente A</t>
        </is>
      </c>
      <c r="C161" t="inlineStr">
        <is>
          <t>Venda de Serviço</t>
        </is>
      </c>
      <c r="D161" t="inlineStr">
        <is>
          <t>Entrada</t>
        </is>
      </c>
      <c r="E161" s="16" t="n">
        <v>2501.88</v>
      </c>
      <c r="F161" t="inlineStr">
        <is>
          <t>Atrasado</t>
        </is>
      </c>
    </row>
    <row r="162">
      <c r="A162" s="15" t="n">
        <v>46259</v>
      </c>
      <c r="B162" t="inlineStr">
        <is>
          <t>Saída - Fornecedor Y</t>
        </is>
      </c>
      <c r="C162" t="inlineStr">
        <is>
          <t>Manutenção</t>
        </is>
      </c>
      <c r="D162" t="inlineStr">
        <is>
          <t>Saída</t>
        </is>
      </c>
      <c r="E162" s="16" t="n">
        <v>2218.67</v>
      </c>
      <c r="F162" t="inlineStr">
        <is>
          <t>Pago</t>
        </is>
      </c>
    </row>
    <row r="163">
      <c r="A163" s="15" t="n">
        <v>46260</v>
      </c>
      <c r="B163" t="inlineStr">
        <is>
          <t>Entrada - Cliente B</t>
        </is>
      </c>
      <c r="C163" t="inlineStr">
        <is>
          <t>Venda de Serviço</t>
        </is>
      </c>
      <c r="D163" t="inlineStr">
        <is>
          <t>Entrada</t>
        </is>
      </c>
      <c r="E163" s="16" t="n">
        <v>3620.36</v>
      </c>
      <c r="F163" t="inlineStr">
        <is>
          <t>Atrasado</t>
        </is>
      </c>
    </row>
    <row r="164">
      <c r="A164" s="15" t="n">
        <v>46260</v>
      </c>
      <c r="B164" t="inlineStr">
        <is>
          <t>Saída - Fornecedor Y</t>
        </is>
      </c>
      <c r="C164" t="inlineStr">
        <is>
          <t>Marketing</t>
        </is>
      </c>
      <c r="D164" t="inlineStr">
        <is>
          <t>Saída</t>
        </is>
      </c>
      <c r="E164" s="16" t="n">
        <v>2218.6</v>
      </c>
      <c r="F164" t="inlineStr">
        <is>
          <t>Pago</t>
        </is>
      </c>
    </row>
    <row r="165">
      <c r="A165" s="15" t="n">
        <v>46260</v>
      </c>
      <c r="B165" t="inlineStr">
        <is>
          <t>Saída - Fornecedor Y</t>
        </is>
      </c>
      <c r="C165" t="inlineStr">
        <is>
          <t>Aluguel</t>
        </is>
      </c>
      <c r="D165" t="inlineStr">
        <is>
          <t>Saída</t>
        </is>
      </c>
      <c r="E165" s="16" t="n">
        <v>511.39</v>
      </c>
      <c r="F165" t="inlineStr">
        <is>
          <t>Atrasado</t>
        </is>
      </c>
    </row>
    <row r="166">
      <c r="A166" s="15" t="n">
        <v>46261</v>
      </c>
      <c r="B166" t="inlineStr">
        <is>
          <t>Entrada - Cliente B</t>
        </is>
      </c>
      <c r="C166" t="inlineStr">
        <is>
          <t>Venda de Serviço</t>
        </is>
      </c>
      <c r="D166" t="inlineStr">
        <is>
          <t>Entrada</t>
        </is>
      </c>
      <c r="E166" s="16" t="n">
        <v>1606.86</v>
      </c>
      <c r="F166" t="inlineStr">
        <is>
          <t>Pendente</t>
        </is>
      </c>
    </row>
    <row r="167">
      <c r="A167" s="15" t="n">
        <v>46261</v>
      </c>
      <c r="B167" t="inlineStr">
        <is>
          <t>Entrada - Cliente C</t>
        </is>
      </c>
      <c r="C167" t="inlineStr">
        <is>
          <t>Venda de Serviço</t>
        </is>
      </c>
      <c r="D167" t="inlineStr">
        <is>
          <t>Entrada</t>
        </is>
      </c>
      <c r="E167" s="16" t="n">
        <v>674.79</v>
      </c>
      <c r="F167" t="inlineStr">
        <is>
          <t>Atrasado</t>
        </is>
      </c>
    </row>
    <row r="168">
      <c r="A168" s="15" t="n">
        <v>46263</v>
      </c>
      <c r="B168" t="inlineStr">
        <is>
          <t>Entrada - Cliente B</t>
        </is>
      </c>
      <c r="C168" t="inlineStr">
        <is>
          <t>Venda de Serviço</t>
        </is>
      </c>
      <c r="D168" t="inlineStr">
        <is>
          <t>Entrada</t>
        </is>
      </c>
      <c r="E168" s="16" t="n">
        <v>4255.4</v>
      </c>
      <c r="F168" t="inlineStr">
        <is>
          <t>Pendente</t>
        </is>
      </c>
    </row>
    <row r="169">
      <c r="A169" s="15" t="n">
        <v>46263</v>
      </c>
      <c r="B169" t="inlineStr">
        <is>
          <t>Saída - Fornecedor X</t>
        </is>
      </c>
      <c r="C169" t="inlineStr">
        <is>
          <t>Salário</t>
        </is>
      </c>
      <c r="D169" t="inlineStr">
        <is>
          <t>Saída</t>
        </is>
      </c>
      <c r="E169" s="16" t="n">
        <v>933.91</v>
      </c>
      <c r="F169" t="inlineStr">
        <is>
          <t>Atrasado</t>
        </is>
      </c>
    </row>
    <row r="170">
      <c r="A170" s="15" t="n">
        <v>46264</v>
      </c>
      <c r="B170" t="inlineStr">
        <is>
          <t>Entrada - Cliente B</t>
        </is>
      </c>
      <c r="C170" t="inlineStr">
        <is>
          <t>Venda de Serviço</t>
        </is>
      </c>
      <c r="D170" t="inlineStr">
        <is>
          <t>Entrada</t>
        </is>
      </c>
      <c r="E170" s="16" t="n">
        <v>3207.45</v>
      </c>
      <c r="F170" t="inlineStr">
        <is>
          <t>Pago</t>
        </is>
      </c>
    </row>
    <row r="171">
      <c r="A171" s="15" t="n">
        <v>46264</v>
      </c>
      <c r="B171" t="inlineStr">
        <is>
          <t>Entrada - Cliente C</t>
        </is>
      </c>
      <c r="C171" t="inlineStr">
        <is>
          <t>Venda de Serviço</t>
        </is>
      </c>
      <c r="D171" t="inlineStr">
        <is>
          <t>Entrada</t>
        </is>
      </c>
      <c r="E171" s="16" t="n">
        <v>3426.23</v>
      </c>
      <c r="F171" t="inlineStr">
        <is>
          <t>Pendente</t>
        </is>
      </c>
    </row>
    <row r="172">
      <c r="A172" s="15" t="n">
        <v>46265</v>
      </c>
      <c r="B172" t="inlineStr">
        <is>
          <t>Entrada - Cliente C</t>
        </is>
      </c>
      <c r="C172" t="inlineStr">
        <is>
          <t>Venda de Serviço</t>
        </is>
      </c>
      <c r="D172" t="inlineStr">
        <is>
          <t>Entrada</t>
        </is>
      </c>
      <c r="E172" s="16" t="n">
        <v>3067.67</v>
      </c>
      <c r="F172" t="inlineStr">
        <is>
          <t>Pago</t>
        </is>
      </c>
    </row>
    <row r="173">
      <c r="A173" s="15" t="n">
        <v>46267</v>
      </c>
      <c r="B173" t="inlineStr">
        <is>
          <t>Saída - Fornecedor X</t>
        </is>
      </c>
      <c r="C173" t="inlineStr">
        <is>
          <t>Salário</t>
        </is>
      </c>
      <c r="D173" t="inlineStr">
        <is>
          <t>Saída</t>
        </is>
      </c>
      <c r="E173" s="16" t="n">
        <v>2551.77</v>
      </c>
      <c r="F173" t="inlineStr">
        <is>
          <t>Atrasado</t>
        </is>
      </c>
    </row>
    <row r="174">
      <c r="A174" s="15" t="n">
        <v>46269</v>
      </c>
      <c r="B174" t="inlineStr">
        <is>
          <t>Saída - Fornecedor X</t>
        </is>
      </c>
      <c r="C174" t="inlineStr">
        <is>
          <t>Marketing</t>
        </is>
      </c>
      <c r="D174" t="inlineStr">
        <is>
          <t>Saída</t>
        </is>
      </c>
      <c r="E174" s="16" t="n">
        <v>2801.17</v>
      </c>
      <c r="F174" t="inlineStr">
        <is>
          <t>Pago</t>
        </is>
      </c>
    </row>
    <row r="175">
      <c r="A175" s="15" t="n">
        <v>46269</v>
      </c>
      <c r="B175" t="inlineStr">
        <is>
          <t>Entrada - Cliente B</t>
        </is>
      </c>
      <c r="C175" t="inlineStr">
        <is>
          <t>Venda de Serviço</t>
        </is>
      </c>
      <c r="D175" t="inlineStr">
        <is>
          <t>Entrada</t>
        </is>
      </c>
      <c r="E175" s="16" t="n">
        <v>4065.15</v>
      </c>
      <c r="F175" t="inlineStr">
        <is>
          <t>Pago</t>
        </is>
      </c>
    </row>
    <row r="176">
      <c r="A176" s="15" t="n">
        <v>46270</v>
      </c>
      <c r="B176" t="inlineStr">
        <is>
          <t>Saída - Fornecedor Y</t>
        </is>
      </c>
      <c r="C176" t="inlineStr">
        <is>
          <t>Imposto</t>
        </is>
      </c>
      <c r="D176" t="inlineStr">
        <is>
          <t>Saída</t>
        </is>
      </c>
      <c r="E176" s="16" t="n">
        <v>2527.34</v>
      </c>
      <c r="F176" t="inlineStr">
        <is>
          <t>Atrasado</t>
        </is>
      </c>
    </row>
    <row r="177">
      <c r="A177" s="15" t="n">
        <v>46271</v>
      </c>
      <c r="B177" t="inlineStr">
        <is>
          <t>Saída - Fornecedor Y</t>
        </is>
      </c>
      <c r="C177" t="inlineStr">
        <is>
          <t>Salário</t>
        </is>
      </c>
      <c r="D177" t="inlineStr">
        <is>
          <t>Saída</t>
        </is>
      </c>
      <c r="E177" s="16" t="n">
        <v>3152.4</v>
      </c>
      <c r="F177" t="inlineStr">
        <is>
          <t>Atrasado</t>
        </is>
      </c>
    </row>
    <row r="178">
      <c r="A178" s="15" t="n">
        <v>46271</v>
      </c>
      <c r="B178" t="inlineStr">
        <is>
          <t>Saída - Fornecedor X</t>
        </is>
      </c>
      <c r="C178" t="inlineStr">
        <is>
          <t>Imposto</t>
        </is>
      </c>
      <c r="D178" t="inlineStr">
        <is>
          <t>Saída</t>
        </is>
      </c>
      <c r="E178" s="16" t="n">
        <v>958.27</v>
      </c>
      <c r="F178" t="inlineStr">
        <is>
          <t>Pendente</t>
        </is>
      </c>
    </row>
    <row r="179">
      <c r="A179" s="15" t="n">
        <v>46272</v>
      </c>
      <c r="B179" t="inlineStr">
        <is>
          <t>Entrada - Cliente A</t>
        </is>
      </c>
      <c r="C179" t="inlineStr">
        <is>
          <t>Venda de Serviço</t>
        </is>
      </c>
      <c r="D179" t="inlineStr">
        <is>
          <t>Entrada</t>
        </is>
      </c>
      <c r="E179" s="16" t="n">
        <v>4546.64</v>
      </c>
      <c r="F179" t="inlineStr">
        <is>
          <t>Pago</t>
        </is>
      </c>
    </row>
    <row r="180">
      <c r="A180" s="15" t="n">
        <v>46272</v>
      </c>
      <c r="B180" t="inlineStr">
        <is>
          <t>Entrada - Cliente A</t>
        </is>
      </c>
      <c r="C180" t="inlineStr">
        <is>
          <t>Venda de Serviço</t>
        </is>
      </c>
      <c r="D180" t="inlineStr">
        <is>
          <t>Entrada</t>
        </is>
      </c>
      <c r="E180" s="16" t="n">
        <v>2962.78</v>
      </c>
      <c r="F180" t="inlineStr">
        <is>
          <t>Atrasado</t>
        </is>
      </c>
    </row>
    <row r="181">
      <c r="A181" s="15" t="n">
        <v>46272</v>
      </c>
      <c r="B181" t="inlineStr">
        <is>
          <t>Saída - Fornecedor Y</t>
        </is>
      </c>
      <c r="C181" t="inlineStr">
        <is>
          <t>Manutenção</t>
        </is>
      </c>
      <c r="D181" t="inlineStr">
        <is>
          <t>Saída</t>
        </is>
      </c>
      <c r="E181" s="16" t="n">
        <v>3549.43</v>
      </c>
      <c r="F181" t="inlineStr">
        <is>
          <t>Atrasado</t>
        </is>
      </c>
    </row>
    <row r="182">
      <c r="A182" s="15" t="n">
        <v>46273</v>
      </c>
      <c r="B182" t="inlineStr">
        <is>
          <t>Entrada - Cliente B</t>
        </is>
      </c>
      <c r="C182" t="inlineStr">
        <is>
          <t>Venda de Serviço</t>
        </is>
      </c>
      <c r="D182" t="inlineStr">
        <is>
          <t>Entrada</t>
        </is>
      </c>
      <c r="E182" s="16" t="n">
        <v>473.98</v>
      </c>
      <c r="F182" t="inlineStr">
        <is>
          <t>Atrasado</t>
        </is>
      </c>
    </row>
    <row r="183">
      <c r="A183" s="15" t="n">
        <v>46274</v>
      </c>
      <c r="B183" t="inlineStr">
        <is>
          <t>Saída - Fornecedor X</t>
        </is>
      </c>
      <c r="C183" t="inlineStr">
        <is>
          <t>Imposto</t>
        </is>
      </c>
      <c r="D183" t="inlineStr">
        <is>
          <t>Saída</t>
        </is>
      </c>
      <c r="E183" s="16" t="n">
        <v>4708.26</v>
      </c>
      <c r="F183" t="inlineStr">
        <is>
          <t>Pendente</t>
        </is>
      </c>
    </row>
    <row r="184">
      <c r="A184" s="15" t="n">
        <v>46276</v>
      </c>
      <c r="B184" t="inlineStr">
        <is>
          <t>Saída - Fornecedor X</t>
        </is>
      </c>
      <c r="C184" t="inlineStr">
        <is>
          <t>Salário</t>
        </is>
      </c>
      <c r="D184" t="inlineStr">
        <is>
          <t>Saída</t>
        </is>
      </c>
      <c r="E184" s="16" t="n">
        <v>4399.67</v>
      </c>
      <c r="F184" t="inlineStr">
        <is>
          <t>Pago</t>
        </is>
      </c>
    </row>
    <row r="185">
      <c r="A185" s="15" t="n">
        <v>46276</v>
      </c>
      <c r="B185" t="inlineStr">
        <is>
          <t>Saída - Fornecedor X</t>
        </is>
      </c>
      <c r="C185" t="inlineStr">
        <is>
          <t>Salário</t>
        </is>
      </c>
      <c r="D185" t="inlineStr">
        <is>
          <t>Saída</t>
        </is>
      </c>
      <c r="E185" s="16" t="n">
        <v>816.24</v>
      </c>
      <c r="F185" t="inlineStr">
        <is>
          <t>Atrasado</t>
        </is>
      </c>
    </row>
    <row r="186">
      <c r="A186" s="15" t="n">
        <v>46276</v>
      </c>
      <c r="B186" t="inlineStr">
        <is>
          <t>Saída - Fornecedor X</t>
        </is>
      </c>
      <c r="C186" t="inlineStr">
        <is>
          <t>Marketing</t>
        </is>
      </c>
      <c r="D186" t="inlineStr">
        <is>
          <t>Saída</t>
        </is>
      </c>
      <c r="E186" s="16" t="n">
        <v>2539.11</v>
      </c>
      <c r="F186" t="inlineStr">
        <is>
          <t>Atrasado</t>
        </is>
      </c>
    </row>
    <row r="187">
      <c r="A187" s="15" t="n">
        <v>46277</v>
      </c>
      <c r="B187" t="inlineStr">
        <is>
          <t>Saída - Fornecedor Z</t>
        </is>
      </c>
      <c r="C187" t="inlineStr">
        <is>
          <t>Manutenção</t>
        </is>
      </c>
      <c r="D187" t="inlineStr">
        <is>
          <t>Saída</t>
        </is>
      </c>
      <c r="E187" s="16" t="n">
        <v>416.71</v>
      </c>
      <c r="F187" t="inlineStr">
        <is>
          <t>Pago</t>
        </is>
      </c>
    </row>
    <row r="188">
      <c r="A188" s="15" t="n">
        <v>46278</v>
      </c>
      <c r="B188" t="inlineStr">
        <is>
          <t>Entrada - Cliente A</t>
        </is>
      </c>
      <c r="C188" t="inlineStr">
        <is>
          <t>Venda de Serviço</t>
        </is>
      </c>
      <c r="D188" t="inlineStr">
        <is>
          <t>Entrada</t>
        </is>
      </c>
      <c r="E188" s="16" t="n">
        <v>3752.48</v>
      </c>
      <c r="F188" t="inlineStr">
        <is>
          <t>Atrasado</t>
        </is>
      </c>
    </row>
    <row r="189">
      <c r="A189" s="15" t="n">
        <v>46279</v>
      </c>
      <c r="B189" t="inlineStr">
        <is>
          <t>Entrada - Cliente B</t>
        </is>
      </c>
      <c r="C189" t="inlineStr">
        <is>
          <t>Venda de Serviço</t>
        </is>
      </c>
      <c r="D189" t="inlineStr">
        <is>
          <t>Entrada</t>
        </is>
      </c>
      <c r="E189" s="16" t="n">
        <v>4287.26</v>
      </c>
      <c r="F189" t="inlineStr">
        <is>
          <t>Pendente</t>
        </is>
      </c>
    </row>
    <row r="190">
      <c r="A190" s="15" t="n">
        <v>46280</v>
      </c>
      <c r="B190" t="inlineStr">
        <is>
          <t>Entrada - Cliente C</t>
        </is>
      </c>
      <c r="C190" t="inlineStr">
        <is>
          <t>Venda de Serviço</t>
        </is>
      </c>
      <c r="D190" t="inlineStr">
        <is>
          <t>Entrada</t>
        </is>
      </c>
      <c r="E190" s="16" t="n">
        <v>3991.32</v>
      </c>
      <c r="F190" t="inlineStr">
        <is>
          <t>Não informado</t>
        </is>
      </c>
    </row>
    <row r="191">
      <c r="A191" s="15" t="n">
        <v>46280</v>
      </c>
      <c r="B191" t="inlineStr">
        <is>
          <t>Saída - Fornecedor Z</t>
        </is>
      </c>
      <c r="C191" t="inlineStr">
        <is>
          <t>Aluguel</t>
        </is>
      </c>
      <c r="D191" t="inlineStr">
        <is>
          <t>Saída</t>
        </is>
      </c>
      <c r="E191" s="16" t="n">
        <v>1159.9</v>
      </c>
      <c r="F191" t="inlineStr">
        <is>
          <t>Pago</t>
        </is>
      </c>
    </row>
    <row r="192">
      <c r="A192" s="15" t="n">
        <v>46280</v>
      </c>
      <c r="B192" t="inlineStr">
        <is>
          <t>Saída - Fornecedor Y</t>
        </is>
      </c>
      <c r="C192" t="inlineStr">
        <is>
          <t>Salário</t>
        </is>
      </c>
      <c r="D192" t="inlineStr">
        <is>
          <t>Saída</t>
        </is>
      </c>
      <c r="E192" s="16" t="n">
        <v>680.86</v>
      </c>
      <c r="F192" t="inlineStr">
        <is>
          <t>Pendente</t>
        </is>
      </c>
    </row>
    <row r="193">
      <c r="A193" s="15" t="n">
        <v>46281</v>
      </c>
      <c r="B193" t="inlineStr">
        <is>
          <t>Saída - Fornecedor Z</t>
        </is>
      </c>
      <c r="C193" t="inlineStr">
        <is>
          <t>Imposto</t>
        </is>
      </c>
      <c r="D193" t="inlineStr">
        <is>
          <t>Saída</t>
        </is>
      </c>
      <c r="E193" s="16" t="n">
        <v>1476.68</v>
      </c>
      <c r="F193" t="inlineStr">
        <is>
          <t>Não informado</t>
        </is>
      </c>
    </row>
    <row r="194">
      <c r="A194" s="15" t="n">
        <v>46281</v>
      </c>
      <c r="B194" t="inlineStr">
        <is>
          <t>Saída - Fornecedor Z</t>
        </is>
      </c>
      <c r="C194" t="inlineStr">
        <is>
          <t>Imposto</t>
        </is>
      </c>
      <c r="D194" t="inlineStr">
        <is>
          <t>Saída</t>
        </is>
      </c>
      <c r="E194" s="16" t="n">
        <v>3152.66</v>
      </c>
      <c r="F194" t="inlineStr">
        <is>
          <t>Atrasado</t>
        </is>
      </c>
    </row>
    <row r="195">
      <c r="A195" s="15" t="n">
        <v>46282</v>
      </c>
      <c r="B195" t="inlineStr">
        <is>
          <t>Saída - Fornecedor Y</t>
        </is>
      </c>
      <c r="C195" t="inlineStr">
        <is>
          <t>Imposto</t>
        </is>
      </c>
      <c r="D195" t="inlineStr">
        <is>
          <t>Saída</t>
        </is>
      </c>
      <c r="E195" s="16" t="n">
        <v>3462.39</v>
      </c>
      <c r="F195" t="inlineStr">
        <is>
          <t>Pago</t>
        </is>
      </c>
    </row>
    <row r="196">
      <c r="A196" s="15" t="n">
        <v>46283</v>
      </c>
      <c r="B196" t="inlineStr">
        <is>
          <t>Saída - Fornecedor Y</t>
        </is>
      </c>
      <c r="C196" t="inlineStr">
        <is>
          <t>Marketing</t>
        </is>
      </c>
      <c r="D196" t="inlineStr">
        <is>
          <t>Saída</t>
        </is>
      </c>
      <c r="E196" s="16" t="n">
        <v>3413.61</v>
      </c>
      <c r="F196" t="inlineStr">
        <is>
          <t>Pago</t>
        </is>
      </c>
    </row>
    <row r="197">
      <c r="A197" s="15" t="n">
        <v>46286</v>
      </c>
      <c r="B197" t="inlineStr">
        <is>
          <t>Entrada - Cliente B</t>
        </is>
      </c>
      <c r="C197" t="inlineStr">
        <is>
          <t>Venda de Serviço</t>
        </is>
      </c>
      <c r="D197" t="inlineStr">
        <is>
          <t>Entrada</t>
        </is>
      </c>
      <c r="E197" s="16" t="n">
        <v>3014.78</v>
      </c>
      <c r="F197" t="inlineStr">
        <is>
          <t>Pago</t>
        </is>
      </c>
    </row>
    <row r="198">
      <c r="A198" s="15" t="n">
        <v>46287</v>
      </c>
      <c r="B198" t="inlineStr">
        <is>
          <t>Entrada - Cliente C</t>
        </is>
      </c>
      <c r="C198" t="inlineStr">
        <is>
          <t>Venda de Serviço</t>
        </is>
      </c>
      <c r="D198" t="inlineStr">
        <is>
          <t>Entrada</t>
        </is>
      </c>
      <c r="E198" s="16" t="n">
        <v>300.41</v>
      </c>
      <c r="F198" t="inlineStr">
        <is>
          <t>Pago</t>
        </is>
      </c>
    </row>
    <row r="199">
      <c r="A199" s="15" t="n">
        <v>46289</v>
      </c>
      <c r="B199" t="inlineStr">
        <is>
          <t>Saída - Fornecedor Y</t>
        </is>
      </c>
      <c r="C199" t="inlineStr">
        <is>
          <t>Marketing</t>
        </is>
      </c>
      <c r="D199" t="inlineStr">
        <is>
          <t>Saída</t>
        </is>
      </c>
      <c r="E199" s="16" t="n">
        <v>1141.18</v>
      </c>
      <c r="F199" t="inlineStr">
        <is>
          <t>Pago</t>
        </is>
      </c>
    </row>
    <row r="200">
      <c r="A200" s="15" t="n">
        <v>46290</v>
      </c>
      <c r="B200" t="inlineStr">
        <is>
          <t>Saída - Fornecedor Y</t>
        </is>
      </c>
      <c r="C200" t="inlineStr">
        <is>
          <t>Fornecedor</t>
        </is>
      </c>
      <c r="D200" t="inlineStr">
        <is>
          <t>Saída</t>
        </is>
      </c>
      <c r="E200" s="16" t="n">
        <v>4517.09</v>
      </c>
      <c r="F200" t="inlineStr">
        <is>
          <t>Pendente</t>
        </is>
      </c>
    </row>
    <row r="201">
      <c r="A201" s="15" t="n">
        <v>46290</v>
      </c>
      <c r="B201" t="inlineStr">
        <is>
          <t>Entrada - Cliente A</t>
        </is>
      </c>
      <c r="C201" t="inlineStr">
        <is>
          <t>Venda de Serviço</t>
        </is>
      </c>
      <c r="D201" t="inlineStr">
        <is>
          <t>Entrada</t>
        </is>
      </c>
      <c r="E201" s="16" t="n">
        <v>2782.36</v>
      </c>
      <c r="F201" t="inlineStr">
        <is>
          <t>Pendente</t>
        </is>
      </c>
    </row>
  </sheetData>
  <pageMargins left="0.75" right="0.75" top="1" bottom="1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12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8" customWidth="1" min="5" max="5"/>
  </cols>
  <sheetData>
    <row r="1" ht="26" customHeight="1">
      <c r="A1" s="1" t="inlineStr">
        <is>
          <t>Fluxo de Caixa Mensal</t>
        </is>
      </c>
      <c r="B1" s="2" t="n"/>
      <c r="C1" s="2" t="n"/>
      <c r="D1" s="2" t="n"/>
      <c r="E1" s="2" t="n"/>
    </row>
    <row r="2">
      <c r="A2" s="3" t="inlineStr">
        <is>
          <t>Período: Mar/2026 a Sep/2026 · regime de caixa: só transações com status Pago (pendentes/atrasadas ficam em Contas a Pagar e Receber)</t>
        </is>
      </c>
      <c r="B2" s="2" t="n"/>
      <c r="C2" s="2" t="n"/>
      <c r="D2" s="2" t="n"/>
      <c r="E2" s="2" t="n"/>
    </row>
    <row r="4">
      <c r="A4" s="14" t="inlineStr">
        <is>
          <t>Mês</t>
        </is>
      </c>
      <c r="B4" s="14" t="inlineStr">
        <is>
          <t>Entradas</t>
        </is>
      </c>
      <c r="C4" s="14" t="inlineStr">
        <is>
          <t>Saídas</t>
        </is>
      </c>
      <c r="D4" s="14" t="inlineStr">
        <is>
          <t>Saldo do Mês</t>
        </is>
      </c>
      <c r="E4" s="14" t="inlineStr">
        <is>
          <t>Saldo Acumulado</t>
        </is>
      </c>
    </row>
    <row r="5">
      <c r="A5" s="17" t="n">
        <v>46082</v>
      </c>
      <c r="B5" s="16">
        <f>SUMIFS(Dados!$E$2:$E$201,Dados!$D$2:$D$201,"Entrada",Dados!$F$2:$F$201,"Pago",Dados!$A$2:$A$201,"&gt;="&amp;A5,Dados!$A$2:$A$201,"&lt;"&amp;EDATE(A5,1))</f>
        <v>0.0</v>
      </c>
      <c r="C5" s="16">
        <f>SUMIFS(Dados!$E$2:$E$201,Dados!$D$2:$D$201,"Saída",Dados!$F$2:$F$201,"Pago",Dados!$A$2:$A$201,"&gt;="&amp;A5,Dados!$A$2:$A$201,"&lt;"&amp;EDATE(A5,1))</f>
        <v>0.0</v>
      </c>
      <c r="D5" s="16">
        <f>B5-C5</f>
        <v>0.0</v>
      </c>
      <c r="E5" s="16">
        <f>D5</f>
        <v>0.0</v>
      </c>
    </row>
    <row r="6">
      <c r="A6" s="17" t="n">
        <v>46113</v>
      </c>
      <c r="B6" s="16">
        <f>SUMIFS(Dados!$E$2:$E$201,Dados!$D$2:$D$201,"Entrada",Dados!$F$2:$F$201,"Pago",Dados!$A$2:$A$201,"&gt;="&amp;A6,Dados!$A$2:$A$201,"&lt;"&amp;EDATE(A6,1))</f>
        <v>17510.88</v>
      </c>
      <c r="C6" s="16">
        <f>SUMIFS(Dados!$E$2:$E$201,Dados!$D$2:$D$201,"Saída",Dados!$F$2:$F$201,"Pago",Dados!$A$2:$A$201,"&gt;="&amp;A6,Dados!$A$2:$A$201,"&lt;"&amp;EDATE(A6,1))</f>
        <v>3978.99</v>
      </c>
      <c r="D6" s="16">
        <f>B6-C6</f>
        <v>13531.89</v>
      </c>
      <c r="E6" s="16">
        <f>E5+D6</f>
        <v>13531.89</v>
      </c>
    </row>
    <row r="7">
      <c r="A7" s="17" t="n">
        <v>46143</v>
      </c>
      <c r="B7" s="16">
        <f>SUMIFS(Dados!$E$2:$E$201,Dados!$D$2:$D$201,"Entrada",Dados!$F$2:$F$201,"Pago",Dados!$A$2:$A$201,"&gt;="&amp;A7,Dados!$A$2:$A$201,"&lt;"&amp;EDATE(A7,1))</f>
        <v>13227.69</v>
      </c>
      <c r="C7" s="16">
        <f>SUMIFS(Dados!$E$2:$E$201,Dados!$D$2:$D$201,"Saída",Dados!$F$2:$F$201,"Pago",Dados!$A$2:$A$201,"&gt;="&amp;A7,Dados!$A$2:$A$201,"&lt;"&amp;EDATE(A7,1))</f>
        <v>9067.97</v>
      </c>
      <c r="D7" s="16">
        <f>B7-C7</f>
        <v>4159.72</v>
      </c>
      <c r="E7" s="16">
        <f>E6+D7</f>
        <v>17691.61</v>
      </c>
    </row>
    <row r="8">
      <c r="A8" s="17" t="n">
        <v>46174</v>
      </c>
      <c r="B8" s="16">
        <f>SUMIFS(Dados!$E$2:$E$201,Dados!$D$2:$D$201,"Entrada",Dados!$F$2:$F$201,"Pago",Dados!$A$2:$A$201,"&gt;="&amp;A8,Dados!$A$2:$A$201,"&lt;"&amp;EDATE(A8,1))</f>
        <v>10106.95</v>
      </c>
      <c r="C8" s="16">
        <f>SUMIFS(Dados!$E$2:$E$201,Dados!$D$2:$D$201,"Saída",Dados!$F$2:$F$201,"Pago",Dados!$A$2:$A$201,"&gt;="&amp;A8,Dados!$A$2:$A$201,"&lt;"&amp;EDATE(A8,1))</f>
        <v>0.0</v>
      </c>
      <c r="D8" s="16">
        <f>B8-C8</f>
        <v>10106.95</v>
      </c>
      <c r="E8" s="16">
        <f>E7+D8</f>
        <v>27798.56</v>
      </c>
    </row>
    <row r="9">
      <c r="A9" s="17" t="n">
        <v>46204</v>
      </c>
      <c r="B9" s="16">
        <f>SUMIFS(Dados!$E$2:$E$201,Dados!$D$2:$D$201,"Entrada",Dados!$F$2:$F$201,"Pago",Dados!$A$2:$A$201,"&gt;="&amp;A9,Dados!$A$2:$A$201,"&lt;"&amp;EDATE(A9,1))</f>
        <v>15254.72</v>
      </c>
      <c r="C9" s="16">
        <f>SUMIFS(Dados!$E$2:$E$201,Dados!$D$2:$D$201,"Saída",Dados!$F$2:$F$201,"Pago",Dados!$A$2:$A$201,"&gt;="&amp;A9,Dados!$A$2:$A$201,"&lt;"&amp;EDATE(A9,1))</f>
        <v>24986.93</v>
      </c>
      <c r="D9" s="16">
        <f>B9-C9</f>
        <v>-9732.21</v>
      </c>
      <c r="E9" s="16">
        <f>E8+D9</f>
        <v>18066.35</v>
      </c>
    </row>
    <row r="10">
      <c r="A10" s="17" t="n">
        <v>46235</v>
      </c>
      <c r="B10" s="16">
        <f>SUMIFS(Dados!$E$2:$E$201,Dados!$D$2:$D$201,"Entrada",Dados!$F$2:$F$201,"Pago",Dados!$A$2:$A$201,"&gt;="&amp;A10,Dados!$A$2:$A$201,"&lt;"&amp;EDATE(A10,1))</f>
        <v>14949.33</v>
      </c>
      <c r="C10" s="16">
        <f>SUMIFS(Dados!$E$2:$E$201,Dados!$D$2:$D$201,"Saída",Dados!$F$2:$F$201,"Pago",Dados!$A$2:$A$201,"&gt;="&amp;A10,Dados!$A$2:$A$201,"&lt;"&amp;EDATE(A10,1))</f>
        <v>6810.78</v>
      </c>
      <c r="D10" s="16">
        <f>B10-C10</f>
        <v>8138.55</v>
      </c>
      <c r="E10" s="16">
        <f>E9+D10</f>
        <v>26204.9</v>
      </c>
    </row>
    <row r="11">
      <c r="A11" s="17" t="n">
        <v>46266</v>
      </c>
      <c r="B11" s="16">
        <f>SUMIFS(Dados!$E$2:$E$201,Dados!$D$2:$D$201,"Entrada",Dados!$F$2:$F$201,"Pago",Dados!$A$2:$A$201,"&gt;="&amp;A11,Dados!$A$2:$A$201,"&lt;"&amp;EDATE(A11,1))</f>
        <v>11926.98</v>
      </c>
      <c r="C11" s="16">
        <f>SUMIFS(Dados!$E$2:$E$201,Dados!$D$2:$D$201,"Saída",Dados!$F$2:$F$201,"Pago",Dados!$A$2:$A$201,"&gt;="&amp;A11,Dados!$A$2:$A$201,"&lt;"&amp;EDATE(A11,1))</f>
        <v>16794.63</v>
      </c>
      <c r="D11" s="16">
        <f>B11-C11</f>
        <v>-4867.65</v>
      </c>
      <c r="E11" s="16">
        <f>E10+D11</f>
        <v>21337.25</v>
      </c>
    </row>
    <row r="12">
      <c r="A12" s="18" t="inlineStr">
        <is>
          <t>Total</t>
        </is>
      </c>
      <c r="B12" s="19">
        <f>SUM(B5:B11)</f>
        <v>82976.55</v>
      </c>
      <c r="C12" s="19">
        <f>SUM(C5:C11)</f>
        <v>61639.3</v>
      </c>
      <c r="D12" s="19">
        <f>SUM(D5:D11)</f>
        <v>21337.25</v>
      </c>
      <c r="E12" s="20" t="n"/>
    </row>
  </sheetData>
  <mergeCells count="2">
    <mergeCell ref="A2:E2"/>
    <mergeCell ref="A1:E1"/>
  </mergeCells>
  <conditionalFormatting sqref="D5:D11">
    <cfRule type="cellIs" priority="1" operator="lessThan" dxfId="0">
      <formula>0</formula>
    </cfRule>
    <cfRule type="cellIs" priority="2" operator="greaterThanOrEqual" dxfId="1">
      <formula>0</formula>
    </cfRule>
  </conditionalFormatting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8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16" customWidth="1" min="3" max="3"/>
    <col width="13" customWidth="1" min="4" max="4"/>
    <col width="13" customWidth="1" min="5" max="5"/>
    <col width="3" customWidth="1" min="6" max="6"/>
    <col width="12" customWidth="1" min="7" max="7"/>
    <col width="26" customWidth="1" min="8" max="8"/>
    <col width="16" customWidth="1" min="9" max="9"/>
    <col width="13" customWidth="1" min="10" max="10"/>
    <col width="13" customWidth="1" min="11" max="11"/>
  </cols>
  <sheetData>
    <row r="1" ht="26" customHeight="1">
      <c r="A1" s="1" t="inlineStr">
        <is>
          <t>Contas a Pagar e Receber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Transações com status Pendente ou Atrasado (em aberto)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4">
      <c r="A4" s="21" t="n"/>
      <c r="B4" s="22" t="inlineStr">
        <is>
          <t>Pendente</t>
        </is>
      </c>
      <c r="C4" s="22" t="inlineStr">
        <is>
          <t>Atrasado</t>
        </is>
      </c>
      <c r="D4" s="23" t="inlineStr">
        <is>
          <t>Total em Aberto</t>
        </is>
      </c>
    </row>
    <row r="5">
      <c r="A5" s="24" t="inlineStr">
        <is>
          <t>A Receber (Entradas)</t>
        </is>
      </c>
      <c r="B5" s="16">
        <f>SUMIFS(Dados!$E$2:$E$201,Dados!$D$2:$D$201,"Entrada",Dados!$F$2:$F$201,"Pendente")</f>
        <v>86550.82</v>
      </c>
      <c r="C5" s="16">
        <f>SUMIFS(Dados!$E$2:$E$201,Dados!$D$2:$D$201,"Entrada",Dados!$F$2:$F$201,"Atrasado")</f>
        <v>113162.08</v>
      </c>
      <c r="D5" s="25">
        <f>B5+C5</f>
        <v>199712.9</v>
      </c>
    </row>
    <row r="6">
      <c r="A6" s="24" t="inlineStr">
        <is>
          <t>A Pagar (Saídas)</t>
        </is>
      </c>
      <c r="B6" s="16">
        <f>SUMIFS(Dados!$E$2:$E$201,Dados!$D$2:$D$201,"Saída",Dados!$F$2:$F$201,"Pendente")</f>
        <v>84201.8</v>
      </c>
      <c r="C6" s="16">
        <f>SUMIFS(Dados!$E$2:$E$201,Dados!$D$2:$D$201,"Saída",Dados!$F$2:$F$201,"Atrasado")</f>
        <v>93485.36</v>
      </c>
      <c r="D6" s="25">
        <f>B6+C6</f>
        <v>177687.16</v>
      </c>
    </row>
    <row r="7">
      <c r="A7" s="26" t="inlineStr">
        <is>
          <t>Saldo em Aberto (Receber − Pagar)</t>
        </is>
      </c>
      <c r="B7" s="27" t="n"/>
      <c r="C7" s="27" t="n"/>
      <c r="D7" s="28">
        <f>D5-D6</f>
        <v>22025.74</v>
      </c>
    </row>
    <row r="10">
      <c r="A10" s="12" t="inlineStr">
        <is>
          <t>Contas a Receber em Aberto (72 transações)</t>
        </is>
      </c>
      <c r="G10" s="12" t="inlineStr">
        <is>
          <t>Contas a Pagar em Aberto (64 transações)</t>
        </is>
      </c>
    </row>
    <row r="11">
      <c r="A11" s="29" t="inlineStr">
        <is>
          <t>Data</t>
        </is>
      </c>
      <c r="B11" s="29" t="inlineStr">
        <is>
          <t>Descrição</t>
        </is>
      </c>
      <c r="C11" s="29" t="inlineStr">
        <is>
          <t>Categoria</t>
        </is>
      </c>
      <c r="D11" s="29" t="inlineStr">
        <is>
          <t>Valor</t>
        </is>
      </c>
      <c r="E11" s="29" t="inlineStr">
        <is>
          <t>Status</t>
        </is>
      </c>
      <c r="G11" s="29" t="inlineStr">
        <is>
          <t>Data</t>
        </is>
      </c>
      <c r="H11" s="29" t="inlineStr">
        <is>
          <t>Descrição</t>
        </is>
      </c>
      <c r="I11" s="29" t="inlineStr">
        <is>
          <t>Categoria</t>
        </is>
      </c>
      <c r="J11" s="29" t="inlineStr">
        <is>
          <t>Valor</t>
        </is>
      </c>
      <c r="K11" s="29" t="inlineStr">
        <is>
          <t>Status</t>
        </is>
      </c>
    </row>
    <row r="12">
      <c r="A12" s="15" t="n">
        <v>46115</v>
      </c>
      <c r="B12" t="inlineStr">
        <is>
          <t>Entrada - Cliente A</t>
        </is>
      </c>
      <c r="C12" t="inlineStr">
        <is>
          <t>Venda de Serviço</t>
        </is>
      </c>
      <c r="D12" s="16" t="n">
        <v>3602.18</v>
      </c>
      <c r="E12" s="30" t="inlineStr">
        <is>
          <t>Atrasado</t>
        </is>
      </c>
      <c r="G12" s="15" t="n">
        <v>46110</v>
      </c>
      <c r="H12" t="inlineStr">
        <is>
          <t>Saída - Fornecedor Z</t>
        </is>
      </c>
      <c r="I12" t="inlineStr">
        <is>
          <t>Imposto</t>
        </is>
      </c>
      <c r="J12" s="16" t="n">
        <v>849.83</v>
      </c>
      <c r="K12" s="31" t="inlineStr">
        <is>
          <t>Pendente</t>
        </is>
      </c>
    </row>
    <row r="13">
      <c r="A13" s="15" t="n">
        <v>46115</v>
      </c>
      <c r="B13" t="inlineStr">
        <is>
          <t>Entrada - Cliente B</t>
        </is>
      </c>
      <c r="C13" t="inlineStr">
        <is>
          <t>Venda de Serviço</t>
        </is>
      </c>
      <c r="D13" s="16" t="n">
        <v>554.41</v>
      </c>
      <c r="E13" s="30" t="inlineStr">
        <is>
          <t>Atrasado</t>
        </is>
      </c>
      <c r="G13" s="15" t="n">
        <v>46111</v>
      </c>
      <c r="H13" t="inlineStr">
        <is>
          <t>Saída - Fornecedor Y</t>
        </is>
      </c>
      <c r="I13" t="inlineStr">
        <is>
          <t>Manutenção</t>
        </is>
      </c>
      <c r="J13" s="16" t="n">
        <v>665.55</v>
      </c>
      <c r="K13" s="31" t="inlineStr">
        <is>
          <t>Pendente</t>
        </is>
      </c>
    </row>
    <row r="14">
      <c r="A14" s="15" t="n">
        <v>46116</v>
      </c>
      <c r="B14" t="inlineStr">
        <is>
          <t>Entrada - Cliente C</t>
        </is>
      </c>
      <c r="C14" t="inlineStr">
        <is>
          <t>Venda de Serviço</t>
        </is>
      </c>
      <c r="D14" s="16" t="n">
        <v>3367.37</v>
      </c>
      <c r="E14" s="30" t="inlineStr">
        <is>
          <t>Atrasado</t>
        </is>
      </c>
      <c r="G14" s="15" t="n">
        <v>46112</v>
      </c>
      <c r="H14" t="inlineStr">
        <is>
          <t>Saída - Fornecedor Y</t>
        </is>
      </c>
      <c r="I14" t="inlineStr">
        <is>
          <t>Salário</t>
        </is>
      </c>
      <c r="J14" s="16" t="n">
        <v>3351.12</v>
      </c>
      <c r="K14" s="31" t="inlineStr">
        <is>
          <t>Pendente</t>
        </is>
      </c>
    </row>
    <row r="15">
      <c r="A15" s="15" t="n">
        <v>46116</v>
      </c>
      <c r="B15" t="inlineStr">
        <is>
          <t>Entrada - Cliente A</t>
        </is>
      </c>
      <c r="C15" t="inlineStr">
        <is>
          <t>Venda de Serviço</t>
        </is>
      </c>
      <c r="D15" s="16" t="n">
        <v>3417.4</v>
      </c>
      <c r="E15" s="30" t="inlineStr">
        <is>
          <t>Atrasado</t>
        </is>
      </c>
      <c r="G15" s="15" t="n">
        <v>46121</v>
      </c>
      <c r="H15" t="inlineStr">
        <is>
          <t>Saída - Fornecedor Y</t>
        </is>
      </c>
      <c r="I15" t="inlineStr">
        <is>
          <t>Imposto</t>
        </is>
      </c>
      <c r="J15" s="16" t="n">
        <v>3540.88</v>
      </c>
      <c r="K15" s="30" t="inlineStr">
        <is>
          <t>Atrasado</t>
        </is>
      </c>
    </row>
    <row r="16">
      <c r="A16" s="15" t="n">
        <v>46117</v>
      </c>
      <c r="B16" t="inlineStr">
        <is>
          <t>Entrada - Cliente C</t>
        </is>
      </c>
      <c r="C16" t="inlineStr">
        <is>
          <t>Venda de Serviço</t>
        </is>
      </c>
      <c r="D16" s="16" t="n">
        <v>1974.84</v>
      </c>
      <c r="E16" s="31" t="inlineStr">
        <is>
          <t>Pendente</t>
        </is>
      </c>
      <c r="G16" s="15" t="n">
        <v>46123</v>
      </c>
      <c r="H16" t="inlineStr">
        <is>
          <t>Saída - Fornecedor Z</t>
        </is>
      </c>
      <c r="I16" t="inlineStr">
        <is>
          <t>Aluguel</t>
        </is>
      </c>
      <c r="J16" s="16" t="n">
        <v>4325.99</v>
      </c>
      <c r="K16" s="30" t="inlineStr">
        <is>
          <t>Atrasado</t>
        </is>
      </c>
    </row>
    <row r="17">
      <c r="A17" s="15" t="n">
        <v>46117</v>
      </c>
      <c r="B17" t="inlineStr">
        <is>
          <t>Entrada - Cliente C</t>
        </is>
      </c>
      <c r="C17" t="inlineStr">
        <is>
          <t>Venda de Serviço</t>
        </is>
      </c>
      <c r="D17" s="16" t="n">
        <v>4647.99</v>
      </c>
      <c r="E17" s="31" t="inlineStr">
        <is>
          <t>Pendente</t>
        </is>
      </c>
      <c r="G17" s="15" t="n">
        <v>46123</v>
      </c>
      <c r="H17" t="inlineStr">
        <is>
          <t>Saída - Fornecedor X</t>
        </is>
      </c>
      <c r="I17" t="inlineStr">
        <is>
          <t>Fornecedor</t>
        </is>
      </c>
      <c r="J17" s="16" t="n">
        <v>2497.17</v>
      </c>
      <c r="K17" s="30" t="inlineStr">
        <is>
          <t>Atrasado</t>
        </is>
      </c>
    </row>
    <row r="18">
      <c r="A18" s="15" t="n">
        <v>46119</v>
      </c>
      <c r="B18" t="inlineStr">
        <is>
          <t>Entrada - Cliente B</t>
        </is>
      </c>
      <c r="C18" t="inlineStr">
        <is>
          <t>Venda de Serviço</t>
        </is>
      </c>
      <c r="D18" s="16" t="n">
        <v>3579.1</v>
      </c>
      <c r="E18" s="30" t="inlineStr">
        <is>
          <t>Atrasado</t>
        </is>
      </c>
      <c r="G18" s="15" t="n">
        <v>46125</v>
      </c>
      <c r="H18" t="inlineStr">
        <is>
          <t>Saída - Fornecedor Z</t>
        </is>
      </c>
      <c r="I18" t="inlineStr">
        <is>
          <t>Aluguel</t>
        </is>
      </c>
      <c r="J18" s="16" t="n">
        <v>3324.53</v>
      </c>
      <c r="K18" s="31" t="inlineStr">
        <is>
          <t>Pendente</t>
        </is>
      </c>
    </row>
    <row r="19">
      <c r="A19" s="15" t="n">
        <v>46120</v>
      </c>
      <c r="B19" t="inlineStr">
        <is>
          <t>Entrada - Cliente A</t>
        </is>
      </c>
      <c r="C19" t="inlineStr">
        <is>
          <t>Venda de Serviço</t>
        </is>
      </c>
      <c r="D19" s="16" t="n">
        <v>1852.9</v>
      </c>
      <c r="E19" s="31" t="inlineStr">
        <is>
          <t>Pendente</t>
        </is>
      </c>
      <c r="G19" s="15" t="n">
        <v>46126</v>
      </c>
      <c r="H19" t="inlineStr">
        <is>
          <t>Saída - Fornecedor Y</t>
        </is>
      </c>
      <c r="I19" t="inlineStr">
        <is>
          <t>Salário</t>
        </is>
      </c>
      <c r="J19" s="16" t="n">
        <v>4328.55</v>
      </c>
      <c r="K19" s="30" t="inlineStr">
        <is>
          <t>Atrasado</t>
        </is>
      </c>
    </row>
    <row r="20">
      <c r="A20" s="15" t="n">
        <v>46122</v>
      </c>
      <c r="B20" t="inlineStr">
        <is>
          <t>Entrada - Cliente B</t>
        </is>
      </c>
      <c r="C20" t="inlineStr">
        <is>
          <t>Venda de Serviço</t>
        </is>
      </c>
      <c r="D20" s="16" t="n">
        <v>3115.94</v>
      </c>
      <c r="E20" s="30" t="inlineStr">
        <is>
          <t>Atrasado</t>
        </is>
      </c>
      <c r="G20" s="15" t="n">
        <v>46126</v>
      </c>
      <c r="H20" t="inlineStr">
        <is>
          <t>Saída - Fornecedor Y</t>
        </is>
      </c>
      <c r="I20" t="inlineStr">
        <is>
          <t>Imposto</t>
        </is>
      </c>
      <c r="J20" s="16" t="n">
        <v>1102.5</v>
      </c>
      <c r="K20" s="31" t="inlineStr">
        <is>
          <t>Pendente</t>
        </is>
      </c>
    </row>
    <row r="21">
      <c r="A21" s="15" t="n">
        <v>46124</v>
      </c>
      <c r="B21" t="inlineStr">
        <is>
          <t>Entrada - Cliente C</t>
        </is>
      </c>
      <c r="C21" t="inlineStr">
        <is>
          <t>Venda de Serviço</t>
        </is>
      </c>
      <c r="D21" s="16" t="n">
        <v>2828.16</v>
      </c>
      <c r="E21" s="30" t="inlineStr">
        <is>
          <t>Atrasado</t>
        </is>
      </c>
      <c r="G21" s="15" t="n">
        <v>46132</v>
      </c>
      <c r="H21" t="inlineStr">
        <is>
          <t>Saída - Fornecedor Z</t>
        </is>
      </c>
      <c r="I21" t="inlineStr">
        <is>
          <t>Salário</t>
        </is>
      </c>
      <c r="J21" s="16" t="n">
        <v>440.06</v>
      </c>
      <c r="K21" s="31" t="inlineStr">
        <is>
          <t>Pendente</t>
        </is>
      </c>
    </row>
    <row r="22">
      <c r="A22" s="15" t="n">
        <v>46130</v>
      </c>
      <c r="B22" t="inlineStr">
        <is>
          <t>Entrada - Cliente A</t>
        </is>
      </c>
      <c r="C22" t="inlineStr">
        <is>
          <t>Venda de Serviço</t>
        </is>
      </c>
      <c r="D22" s="16" t="n">
        <v>2563.02</v>
      </c>
      <c r="E22" s="31" t="inlineStr">
        <is>
          <t>Pendente</t>
        </is>
      </c>
      <c r="G22" s="15" t="n">
        <v>46135</v>
      </c>
      <c r="H22" t="inlineStr">
        <is>
          <t>Saída - Fornecedor Y</t>
        </is>
      </c>
      <c r="I22" t="inlineStr">
        <is>
          <t>Salário</t>
        </is>
      </c>
      <c r="J22" s="16" t="n">
        <v>1761.15</v>
      </c>
      <c r="K22" s="30" t="inlineStr">
        <is>
          <t>Atrasado</t>
        </is>
      </c>
    </row>
    <row r="23">
      <c r="A23" s="15" t="n">
        <v>46131</v>
      </c>
      <c r="B23" t="inlineStr">
        <is>
          <t>Entrada - Cliente B</t>
        </is>
      </c>
      <c r="C23" t="inlineStr">
        <is>
          <t>Venda de Serviço</t>
        </is>
      </c>
      <c r="D23" s="16" t="n">
        <v>978.53</v>
      </c>
      <c r="E23" s="31" t="inlineStr">
        <is>
          <t>Pendente</t>
        </is>
      </c>
      <c r="G23" s="15" t="n">
        <v>46139</v>
      </c>
      <c r="H23" t="inlineStr">
        <is>
          <t>Saída - Fornecedor X</t>
        </is>
      </c>
      <c r="I23" t="inlineStr">
        <is>
          <t>Fornecedor</t>
        </is>
      </c>
      <c r="J23" s="16" t="n">
        <v>4710.28</v>
      </c>
      <c r="K23" s="30" t="inlineStr">
        <is>
          <t>Atrasado</t>
        </is>
      </c>
    </row>
    <row r="24">
      <c r="A24" s="15" t="n">
        <v>46131</v>
      </c>
      <c r="B24" t="inlineStr">
        <is>
          <t>Entrada - Cliente A</t>
        </is>
      </c>
      <c r="C24" t="inlineStr">
        <is>
          <t>Venda de Serviço</t>
        </is>
      </c>
      <c r="D24" s="16" t="n">
        <v>4210.5</v>
      </c>
      <c r="E24" s="30" t="inlineStr">
        <is>
          <t>Atrasado</t>
        </is>
      </c>
      <c r="G24" s="15" t="n">
        <v>46142</v>
      </c>
      <c r="H24" t="inlineStr">
        <is>
          <t>Saída - Fornecedor Z</t>
        </is>
      </c>
      <c r="I24" t="inlineStr">
        <is>
          <t>Salário</t>
        </is>
      </c>
      <c r="J24" s="16" t="n">
        <v>3474.35</v>
      </c>
      <c r="K24" s="31" t="inlineStr">
        <is>
          <t>Pendente</t>
        </is>
      </c>
    </row>
    <row r="25">
      <c r="A25" s="15" t="n">
        <v>46134</v>
      </c>
      <c r="B25" t="inlineStr">
        <is>
          <t>Entrada - Cliente C</t>
        </is>
      </c>
      <c r="C25" t="inlineStr">
        <is>
          <t>Venda de Serviço</t>
        </is>
      </c>
      <c r="D25" s="16" t="n">
        <v>3764.86</v>
      </c>
      <c r="E25" s="30" t="inlineStr">
        <is>
          <t>Atrasado</t>
        </is>
      </c>
      <c r="G25" s="15" t="n">
        <v>46143</v>
      </c>
      <c r="H25" t="inlineStr">
        <is>
          <t>Saída - Fornecedor Z</t>
        </is>
      </c>
      <c r="I25" t="inlineStr">
        <is>
          <t>Fornecedor</t>
        </is>
      </c>
      <c r="J25" s="16" t="n">
        <v>178.03</v>
      </c>
      <c r="K25" s="30" t="inlineStr">
        <is>
          <t>Atrasado</t>
        </is>
      </c>
    </row>
    <row r="26">
      <c r="A26" s="15" t="n">
        <v>46135</v>
      </c>
      <c r="B26" t="inlineStr">
        <is>
          <t>Entrada - Cliente B</t>
        </is>
      </c>
      <c r="C26" t="inlineStr">
        <is>
          <t>Venda de Serviço</t>
        </is>
      </c>
      <c r="D26" s="16" t="n">
        <v>2812.46</v>
      </c>
      <c r="E26" s="30" t="inlineStr">
        <is>
          <t>Atrasado</t>
        </is>
      </c>
      <c r="G26" s="15" t="n">
        <v>46145</v>
      </c>
      <c r="H26" t="inlineStr">
        <is>
          <t>Saída - Fornecedor X</t>
        </is>
      </c>
      <c r="I26" t="inlineStr">
        <is>
          <t>Aluguel</t>
        </is>
      </c>
      <c r="J26" s="16" t="n">
        <v>2035.77</v>
      </c>
      <c r="K26" s="30" t="inlineStr">
        <is>
          <t>Atrasado</t>
        </is>
      </c>
    </row>
    <row r="27">
      <c r="A27" s="15" t="n">
        <v>46140</v>
      </c>
      <c r="B27" t="inlineStr">
        <is>
          <t>Entrada - Cliente C</t>
        </is>
      </c>
      <c r="C27" t="inlineStr">
        <is>
          <t>Venda de Serviço</t>
        </is>
      </c>
      <c r="D27" s="16" t="n">
        <v>4623.36</v>
      </c>
      <c r="E27" s="30" t="inlineStr">
        <is>
          <t>Atrasado</t>
        </is>
      </c>
      <c r="G27" s="15" t="n">
        <v>46145</v>
      </c>
      <c r="H27" t="inlineStr">
        <is>
          <t>Saída - Fornecedor Y</t>
        </is>
      </c>
      <c r="I27" t="inlineStr">
        <is>
          <t>Imposto</t>
        </is>
      </c>
      <c r="J27" s="16" t="n">
        <v>4307.82</v>
      </c>
      <c r="K27" s="30" t="inlineStr">
        <is>
          <t>Atrasado</t>
        </is>
      </c>
    </row>
    <row r="28">
      <c r="A28" s="15" t="n">
        <v>46140</v>
      </c>
      <c r="B28" t="inlineStr">
        <is>
          <t>Entrada - Cliente A</t>
        </is>
      </c>
      <c r="C28" t="inlineStr">
        <is>
          <t>Venda de Serviço</t>
        </is>
      </c>
      <c r="D28" s="16" t="n">
        <v>366.93</v>
      </c>
      <c r="E28" s="30" t="inlineStr">
        <is>
          <t>Atrasado</t>
        </is>
      </c>
      <c r="G28" s="15" t="n">
        <v>46150</v>
      </c>
      <c r="H28" t="inlineStr">
        <is>
          <t>Saída - Fornecedor Y</t>
        </is>
      </c>
      <c r="I28" t="inlineStr">
        <is>
          <t>Salário</t>
        </is>
      </c>
      <c r="J28" s="16" t="n">
        <v>2789.69</v>
      </c>
      <c r="K28" s="31" t="inlineStr">
        <is>
          <t>Pendente</t>
        </is>
      </c>
    </row>
    <row r="29">
      <c r="A29" s="15" t="n">
        <v>46143</v>
      </c>
      <c r="B29" t="inlineStr">
        <is>
          <t>Entrada - Cliente C</t>
        </is>
      </c>
      <c r="C29" t="inlineStr">
        <is>
          <t>Venda de Serviço</t>
        </is>
      </c>
      <c r="D29" s="16" t="n">
        <v>3630.6</v>
      </c>
      <c r="E29" s="31" t="inlineStr">
        <is>
          <t>Pendente</t>
        </is>
      </c>
      <c r="G29" s="15" t="n">
        <v>46154</v>
      </c>
      <c r="H29" t="inlineStr">
        <is>
          <t>Saída - Fornecedor Z</t>
        </is>
      </c>
      <c r="I29" t="inlineStr">
        <is>
          <t>Salário</t>
        </is>
      </c>
      <c r="J29" s="16" t="n">
        <v>3266.69</v>
      </c>
      <c r="K29" s="31" t="inlineStr">
        <is>
          <t>Pendente</t>
        </is>
      </c>
    </row>
    <row r="30">
      <c r="A30" s="15" t="n">
        <v>46144</v>
      </c>
      <c r="B30" t="inlineStr">
        <is>
          <t>Entrada - Cliente A</t>
        </is>
      </c>
      <c r="C30" t="inlineStr">
        <is>
          <t>Venda de Serviço</t>
        </is>
      </c>
      <c r="D30" s="16" t="n">
        <v>4904.83</v>
      </c>
      <c r="E30" s="31" t="inlineStr">
        <is>
          <t>Pendente</t>
        </is>
      </c>
      <c r="G30" s="15" t="n">
        <v>46156</v>
      </c>
      <c r="H30" t="inlineStr">
        <is>
          <t>Saída - Fornecedor X</t>
        </is>
      </c>
      <c r="I30" t="inlineStr">
        <is>
          <t>Imposto</t>
        </is>
      </c>
      <c r="J30" s="16" t="n">
        <v>4355.02</v>
      </c>
      <c r="K30" s="31" t="inlineStr">
        <is>
          <t>Pendente</t>
        </is>
      </c>
    </row>
    <row r="31">
      <c r="A31" s="15" t="n">
        <v>46145</v>
      </c>
      <c r="B31" t="inlineStr">
        <is>
          <t>Entrada - Cliente C</t>
        </is>
      </c>
      <c r="C31" t="inlineStr">
        <is>
          <t>Venda de Serviço</t>
        </is>
      </c>
      <c r="D31" s="16" t="n">
        <v>3973.51</v>
      </c>
      <c r="E31" s="31" t="inlineStr">
        <is>
          <t>Pendente</t>
        </is>
      </c>
      <c r="G31" s="15" t="n">
        <v>46167</v>
      </c>
      <c r="H31" t="inlineStr">
        <is>
          <t>Saída - Fornecedor Z</t>
        </is>
      </c>
      <c r="I31" t="inlineStr">
        <is>
          <t>Imposto</t>
        </is>
      </c>
      <c r="J31" s="16" t="n">
        <v>4333.04</v>
      </c>
      <c r="K31" s="31" t="inlineStr">
        <is>
          <t>Pendente</t>
        </is>
      </c>
    </row>
    <row r="32">
      <c r="A32" s="15" t="n">
        <v>46146</v>
      </c>
      <c r="B32" t="inlineStr">
        <is>
          <t>Entrada - Cliente C</t>
        </is>
      </c>
      <c r="C32" t="inlineStr">
        <is>
          <t>Venda de Serviço</t>
        </is>
      </c>
      <c r="D32" s="16" t="n">
        <v>4539.3</v>
      </c>
      <c r="E32" s="30" t="inlineStr">
        <is>
          <t>Atrasado</t>
        </is>
      </c>
      <c r="G32" s="15" t="n">
        <v>46169</v>
      </c>
      <c r="H32" t="inlineStr">
        <is>
          <t>Saída - Fornecedor Z</t>
        </is>
      </c>
      <c r="I32" t="inlineStr">
        <is>
          <t>Fornecedor</t>
        </is>
      </c>
      <c r="J32" s="16" t="n">
        <v>2468.46</v>
      </c>
      <c r="K32" s="30" t="inlineStr">
        <is>
          <t>Atrasado</t>
        </is>
      </c>
    </row>
    <row r="33">
      <c r="A33" s="15" t="n">
        <v>46147</v>
      </c>
      <c r="B33" t="inlineStr">
        <is>
          <t>Entrada - Cliente A</t>
        </is>
      </c>
      <c r="C33" t="inlineStr">
        <is>
          <t>Venda de Serviço</t>
        </is>
      </c>
      <c r="D33" s="16" t="n">
        <v>1361.16</v>
      </c>
      <c r="E33" s="30" t="inlineStr">
        <is>
          <t>Atrasado</t>
        </is>
      </c>
      <c r="G33" s="15" t="n">
        <v>46173</v>
      </c>
      <c r="H33" t="inlineStr">
        <is>
          <t>Saída - Fornecedor X</t>
        </is>
      </c>
      <c r="I33" t="inlineStr">
        <is>
          <t>Aluguel</t>
        </is>
      </c>
      <c r="J33" s="16" t="n">
        <v>4648.64</v>
      </c>
      <c r="K33" s="30" t="inlineStr">
        <is>
          <t>Atrasado</t>
        </is>
      </c>
    </row>
    <row r="34">
      <c r="A34" s="15" t="n">
        <v>46152</v>
      </c>
      <c r="B34" t="inlineStr">
        <is>
          <t>Entrada - Cliente A</t>
        </is>
      </c>
      <c r="C34" t="inlineStr">
        <is>
          <t>Venda de Serviço</t>
        </is>
      </c>
      <c r="D34" s="16" t="n">
        <v>806.55</v>
      </c>
      <c r="E34" s="30" t="inlineStr">
        <is>
          <t>Atrasado</t>
        </is>
      </c>
      <c r="G34" s="15" t="n">
        <v>46174</v>
      </c>
      <c r="H34" t="inlineStr">
        <is>
          <t>Saída - Fornecedor Y</t>
        </is>
      </c>
      <c r="I34" t="inlineStr">
        <is>
          <t>Marketing</t>
        </is>
      </c>
      <c r="J34" s="16" t="n">
        <v>2781.99</v>
      </c>
      <c r="K34" s="31" t="inlineStr">
        <is>
          <t>Pendente</t>
        </is>
      </c>
    </row>
    <row r="35">
      <c r="A35" s="15" t="n">
        <v>46154</v>
      </c>
      <c r="B35" t="inlineStr">
        <is>
          <t>Entrada - Cliente A</t>
        </is>
      </c>
      <c r="C35" t="inlineStr">
        <is>
          <t>Venda de Serviço</t>
        </is>
      </c>
      <c r="D35" s="16" t="n">
        <v>3065.2</v>
      </c>
      <c r="E35" s="30" t="inlineStr">
        <is>
          <t>Atrasado</t>
        </is>
      </c>
      <c r="G35" s="15" t="n">
        <v>46179</v>
      </c>
      <c r="H35" t="inlineStr">
        <is>
          <t>Saída - Fornecedor Z</t>
        </is>
      </c>
      <c r="I35" t="inlineStr">
        <is>
          <t>Fornecedor</t>
        </is>
      </c>
      <c r="J35" s="16" t="n">
        <v>4584.56</v>
      </c>
      <c r="K35" s="30" t="inlineStr">
        <is>
          <t>Atrasado</t>
        </is>
      </c>
    </row>
    <row r="36">
      <c r="A36" s="15" t="n">
        <v>46157</v>
      </c>
      <c r="B36" t="inlineStr">
        <is>
          <t>Entrada - Cliente A</t>
        </is>
      </c>
      <c r="C36" t="inlineStr">
        <is>
          <t>Venda de Serviço</t>
        </is>
      </c>
      <c r="D36" s="16" t="n">
        <v>3558.49</v>
      </c>
      <c r="E36" s="30" t="inlineStr">
        <is>
          <t>Atrasado</t>
        </is>
      </c>
      <c r="G36" s="15" t="n">
        <v>46182</v>
      </c>
      <c r="H36" t="inlineStr">
        <is>
          <t>Saída - Fornecedor Y</t>
        </is>
      </c>
      <c r="I36" t="inlineStr">
        <is>
          <t>Imposto</t>
        </is>
      </c>
      <c r="J36" s="16" t="n">
        <v>4636.26</v>
      </c>
      <c r="K36" s="30" t="inlineStr">
        <is>
          <t>Atrasado</t>
        </is>
      </c>
    </row>
    <row r="37">
      <c r="A37" s="15" t="n">
        <v>46158</v>
      </c>
      <c r="B37" t="inlineStr">
        <is>
          <t>Entrada - Cliente C</t>
        </is>
      </c>
      <c r="C37" t="inlineStr">
        <is>
          <t>Venda de Serviço</t>
        </is>
      </c>
      <c r="D37" s="16" t="n">
        <v>4030.34</v>
      </c>
      <c r="E37" s="31" t="inlineStr">
        <is>
          <t>Pendente</t>
        </is>
      </c>
      <c r="G37" s="15" t="n">
        <v>46183</v>
      </c>
      <c r="H37" t="inlineStr">
        <is>
          <t>Saída - Fornecedor Y</t>
        </is>
      </c>
      <c r="I37" t="inlineStr">
        <is>
          <t>Imposto</t>
        </is>
      </c>
      <c r="J37" s="16" t="n">
        <v>1667.89</v>
      </c>
      <c r="K37" s="31" t="inlineStr">
        <is>
          <t>Pendente</t>
        </is>
      </c>
    </row>
    <row r="38">
      <c r="A38" s="15" t="n">
        <v>46160</v>
      </c>
      <c r="B38" t="inlineStr">
        <is>
          <t>Entrada - Cliente A</t>
        </is>
      </c>
      <c r="C38" t="inlineStr">
        <is>
          <t>Venda de Serviço</t>
        </is>
      </c>
      <c r="D38" s="16" t="n">
        <v>4986.76</v>
      </c>
      <c r="E38" s="31" t="inlineStr">
        <is>
          <t>Pendente</t>
        </is>
      </c>
      <c r="G38" s="15" t="n">
        <v>46185</v>
      </c>
      <c r="H38" t="inlineStr">
        <is>
          <t>Saída - Fornecedor Y</t>
        </is>
      </c>
      <c r="I38" t="inlineStr">
        <is>
          <t>Fornecedor</t>
        </is>
      </c>
      <c r="J38" s="16" t="n">
        <v>3367.16</v>
      </c>
      <c r="K38" s="30" t="inlineStr">
        <is>
          <t>Atrasado</t>
        </is>
      </c>
    </row>
    <row r="39">
      <c r="A39" s="15" t="n">
        <v>46160</v>
      </c>
      <c r="B39" t="inlineStr">
        <is>
          <t>Entrada - Cliente C</t>
        </is>
      </c>
      <c r="C39" t="inlineStr">
        <is>
          <t>Venda de Serviço</t>
        </is>
      </c>
      <c r="D39" s="16" t="n">
        <v>1948.75</v>
      </c>
      <c r="E39" s="30" t="inlineStr">
        <is>
          <t>Atrasado</t>
        </is>
      </c>
      <c r="G39" s="15" t="n">
        <v>46186</v>
      </c>
      <c r="H39" t="inlineStr">
        <is>
          <t>Saída - Fornecedor Y</t>
        </is>
      </c>
      <c r="I39" t="inlineStr">
        <is>
          <t>Imposto</t>
        </is>
      </c>
      <c r="J39" s="16" t="n">
        <v>4846.82</v>
      </c>
      <c r="K39" s="31" t="inlineStr">
        <is>
          <t>Pendente</t>
        </is>
      </c>
    </row>
    <row r="40">
      <c r="A40" s="15" t="n">
        <v>46161</v>
      </c>
      <c r="B40" t="inlineStr">
        <is>
          <t>Entrada - Cliente A</t>
        </is>
      </c>
      <c r="C40" t="inlineStr">
        <is>
          <t>Venda de Serviço</t>
        </is>
      </c>
      <c r="D40" s="16" t="n">
        <v>412.64</v>
      </c>
      <c r="E40" s="31" t="inlineStr">
        <is>
          <t>Pendente</t>
        </is>
      </c>
      <c r="G40" s="15" t="n">
        <v>46188</v>
      </c>
      <c r="H40" t="inlineStr">
        <is>
          <t>Saída - Fornecedor Z</t>
        </is>
      </c>
      <c r="I40" t="inlineStr">
        <is>
          <t>Imposto</t>
        </is>
      </c>
      <c r="J40" s="16" t="n">
        <v>3747.72</v>
      </c>
      <c r="K40" s="31" t="inlineStr">
        <is>
          <t>Pendente</t>
        </is>
      </c>
    </row>
    <row r="41">
      <c r="A41" s="15" t="n">
        <v>46167</v>
      </c>
      <c r="B41" t="inlineStr">
        <is>
          <t>Entrada - Cliente C</t>
        </is>
      </c>
      <c r="C41" t="inlineStr">
        <is>
          <t>Venda de Serviço</t>
        </is>
      </c>
      <c r="D41" s="16" t="n">
        <v>998.13</v>
      </c>
      <c r="E41" s="31" t="inlineStr">
        <is>
          <t>Pendente</t>
        </is>
      </c>
      <c r="G41" s="15" t="n">
        <v>46191</v>
      </c>
      <c r="H41" t="inlineStr">
        <is>
          <t>Saída - Fornecedor Y</t>
        </is>
      </c>
      <c r="I41" t="inlineStr">
        <is>
          <t>Fornecedor</t>
        </is>
      </c>
      <c r="J41" s="16" t="n">
        <v>2108.08</v>
      </c>
      <c r="K41" s="30" t="inlineStr">
        <is>
          <t>Atrasado</t>
        </is>
      </c>
    </row>
    <row r="42">
      <c r="A42" s="15" t="n">
        <v>46170</v>
      </c>
      <c r="B42" t="inlineStr">
        <is>
          <t>Entrada - Cliente A</t>
        </is>
      </c>
      <c r="C42" t="inlineStr">
        <is>
          <t>Venda de Serviço</t>
        </is>
      </c>
      <c r="D42" s="16" t="n">
        <v>3827.39</v>
      </c>
      <c r="E42" s="30" t="inlineStr">
        <is>
          <t>Atrasado</t>
        </is>
      </c>
      <c r="G42" s="15" t="n">
        <v>46193</v>
      </c>
      <c r="H42" t="inlineStr">
        <is>
          <t>Saída - Fornecedor X</t>
        </is>
      </c>
      <c r="I42" t="inlineStr">
        <is>
          <t>Fornecedor</t>
        </is>
      </c>
      <c r="J42" s="16" t="n">
        <v>4926.85</v>
      </c>
      <c r="K42" s="31" t="inlineStr">
        <is>
          <t>Pendente</t>
        </is>
      </c>
    </row>
    <row r="43">
      <c r="A43" s="15" t="n">
        <v>46175</v>
      </c>
      <c r="B43" t="inlineStr">
        <is>
          <t>Entrada - Cliente B</t>
        </is>
      </c>
      <c r="C43" t="inlineStr">
        <is>
          <t>Venda de Serviço</t>
        </is>
      </c>
      <c r="D43" s="16" t="n">
        <v>3889.68</v>
      </c>
      <c r="E43" s="31" t="inlineStr">
        <is>
          <t>Pendente</t>
        </is>
      </c>
      <c r="G43" s="15" t="n">
        <v>46209</v>
      </c>
      <c r="H43" t="inlineStr">
        <is>
          <t>Saída - Fornecedor Z</t>
        </is>
      </c>
      <c r="I43" t="inlineStr">
        <is>
          <t>Marketing</t>
        </is>
      </c>
      <c r="J43" s="16" t="n">
        <v>3354.51</v>
      </c>
      <c r="K43" s="31" t="inlineStr">
        <is>
          <t>Pendente</t>
        </is>
      </c>
    </row>
    <row r="44">
      <c r="A44" s="15" t="n">
        <v>46179</v>
      </c>
      <c r="B44" t="inlineStr">
        <is>
          <t>Entrada - Cliente B</t>
        </is>
      </c>
      <c r="C44" t="inlineStr">
        <is>
          <t>Venda de Serviço</t>
        </is>
      </c>
      <c r="D44" s="16" t="n">
        <v>2466.74</v>
      </c>
      <c r="E44" s="31" t="inlineStr">
        <is>
          <t>Pendente</t>
        </is>
      </c>
      <c r="G44" s="15" t="n">
        <v>46213</v>
      </c>
      <c r="H44" t="inlineStr">
        <is>
          <t>Saída - Fornecedor Z</t>
        </is>
      </c>
      <c r="I44" t="inlineStr">
        <is>
          <t>Marketing</t>
        </is>
      </c>
      <c r="J44" s="16" t="n">
        <v>830.85</v>
      </c>
      <c r="K44" s="30" t="inlineStr">
        <is>
          <t>Atrasado</t>
        </is>
      </c>
    </row>
    <row r="45">
      <c r="A45" s="15" t="n">
        <v>46180</v>
      </c>
      <c r="B45" t="inlineStr">
        <is>
          <t>Entrada - Cliente A</t>
        </is>
      </c>
      <c r="C45" t="inlineStr">
        <is>
          <t>Venda de Serviço</t>
        </is>
      </c>
      <c r="D45" s="16" t="n">
        <v>1554.18</v>
      </c>
      <c r="E45" s="30" t="inlineStr">
        <is>
          <t>Atrasado</t>
        </is>
      </c>
      <c r="G45" s="15" t="n">
        <v>46214</v>
      </c>
      <c r="H45" t="inlineStr">
        <is>
          <t>Saída - Fornecedor Z</t>
        </is>
      </c>
      <c r="I45" t="inlineStr">
        <is>
          <t>Manutenção</t>
        </is>
      </c>
      <c r="J45" s="16" t="n">
        <v>2009.14</v>
      </c>
      <c r="K45" s="31" t="inlineStr">
        <is>
          <t>Pendente</t>
        </is>
      </c>
    </row>
    <row r="46">
      <c r="A46" s="15" t="n">
        <v>46182</v>
      </c>
      <c r="B46" t="inlineStr">
        <is>
          <t>Entrada - Cliente B</t>
        </is>
      </c>
      <c r="C46" t="inlineStr">
        <is>
          <t>Venda de Serviço</t>
        </is>
      </c>
      <c r="D46" s="16" t="n">
        <v>3311.96</v>
      </c>
      <c r="E46" s="31" t="inlineStr">
        <is>
          <t>Pendente</t>
        </is>
      </c>
      <c r="G46" s="15" t="n">
        <v>46214</v>
      </c>
      <c r="H46" t="inlineStr">
        <is>
          <t>Saída - Fornecedor Z</t>
        </is>
      </c>
      <c r="I46" t="inlineStr">
        <is>
          <t>Salário</t>
        </is>
      </c>
      <c r="J46" s="16" t="n">
        <v>4111.72</v>
      </c>
      <c r="K46" s="30" t="inlineStr">
        <is>
          <t>Atrasado</t>
        </is>
      </c>
    </row>
    <row r="47">
      <c r="A47" s="15" t="n">
        <v>46184</v>
      </c>
      <c r="B47" t="inlineStr">
        <is>
          <t>Entrada - Cliente B</t>
        </is>
      </c>
      <c r="C47" t="inlineStr">
        <is>
          <t>Venda de Serviço</t>
        </is>
      </c>
      <c r="D47" s="16" t="n">
        <v>4326.93</v>
      </c>
      <c r="E47" s="31" t="inlineStr">
        <is>
          <t>Pendente</t>
        </is>
      </c>
      <c r="G47" s="15" t="n">
        <v>46214</v>
      </c>
      <c r="H47" t="inlineStr">
        <is>
          <t>Saída - Fornecedor Z</t>
        </is>
      </c>
      <c r="I47" t="inlineStr">
        <is>
          <t>Aluguel</t>
        </is>
      </c>
      <c r="J47" s="16" t="n">
        <v>3333.77</v>
      </c>
      <c r="K47" s="30" t="inlineStr">
        <is>
          <t>Atrasado</t>
        </is>
      </c>
    </row>
    <row r="48">
      <c r="A48" s="15" t="n">
        <v>46188</v>
      </c>
      <c r="B48" t="inlineStr">
        <is>
          <t>Entrada - Cliente A</t>
        </is>
      </c>
      <c r="C48" t="inlineStr">
        <is>
          <t>Venda de Serviço</t>
        </is>
      </c>
      <c r="D48" s="16" t="n">
        <v>167.14</v>
      </c>
      <c r="E48" s="31" t="inlineStr">
        <is>
          <t>Pendente</t>
        </is>
      </c>
      <c r="G48" s="15" t="n">
        <v>46215</v>
      </c>
      <c r="H48" t="inlineStr">
        <is>
          <t>Saída - Fornecedor X</t>
        </is>
      </c>
      <c r="I48" t="inlineStr">
        <is>
          <t>Salário</t>
        </is>
      </c>
      <c r="J48" s="16" t="n">
        <v>3854.56</v>
      </c>
      <c r="K48" s="31" t="inlineStr">
        <is>
          <t>Pendente</t>
        </is>
      </c>
    </row>
    <row r="49">
      <c r="A49" s="15" t="n">
        <v>46193</v>
      </c>
      <c r="B49" t="inlineStr">
        <is>
          <t>Entrada - Cliente C</t>
        </is>
      </c>
      <c r="C49" t="inlineStr">
        <is>
          <t>Venda de Serviço</t>
        </is>
      </c>
      <c r="D49" s="16" t="n">
        <v>4290.82</v>
      </c>
      <c r="E49" s="31" t="inlineStr">
        <is>
          <t>Pendente</t>
        </is>
      </c>
      <c r="G49" s="15" t="n">
        <v>46216</v>
      </c>
      <c r="H49" t="inlineStr">
        <is>
          <t>Saída - Fornecedor Z</t>
        </is>
      </c>
      <c r="I49" t="inlineStr">
        <is>
          <t>Aluguel</t>
        </is>
      </c>
      <c r="J49" s="16" t="n">
        <v>275.3</v>
      </c>
      <c r="K49" s="30" t="inlineStr">
        <is>
          <t>Atrasado</t>
        </is>
      </c>
    </row>
    <row r="50">
      <c r="A50" s="15" t="n">
        <v>46193</v>
      </c>
      <c r="B50" t="inlineStr">
        <is>
          <t>Entrada - Cliente C</t>
        </is>
      </c>
      <c r="C50" t="inlineStr">
        <is>
          <t>Venda de Serviço</t>
        </is>
      </c>
      <c r="D50" s="16" t="n">
        <v>999.61</v>
      </c>
      <c r="E50" s="30" t="inlineStr">
        <is>
          <t>Atrasado</t>
        </is>
      </c>
      <c r="G50" s="15" t="n">
        <v>46220</v>
      </c>
      <c r="H50" t="inlineStr">
        <is>
          <t>Saída - Fornecedor Z</t>
        </is>
      </c>
      <c r="I50" t="inlineStr">
        <is>
          <t>Fornecedor</t>
        </is>
      </c>
      <c r="J50" s="16" t="n">
        <v>2277.85</v>
      </c>
      <c r="K50" s="30" t="inlineStr">
        <is>
          <t>Atrasado</t>
        </is>
      </c>
    </row>
    <row r="51">
      <c r="A51" s="15" t="n">
        <v>46202</v>
      </c>
      <c r="B51" t="inlineStr">
        <is>
          <t>Entrada - Cliente B</t>
        </is>
      </c>
      <c r="C51" t="inlineStr">
        <is>
          <t>Venda de Serviço</t>
        </is>
      </c>
      <c r="D51" s="16" t="n">
        <v>1930.64</v>
      </c>
      <c r="E51" s="30" t="inlineStr">
        <is>
          <t>Atrasado</t>
        </is>
      </c>
      <c r="G51" s="15" t="n">
        <v>46222</v>
      </c>
      <c r="H51" t="inlineStr">
        <is>
          <t>Saída - Fornecedor Z</t>
        </is>
      </c>
      <c r="I51" t="inlineStr">
        <is>
          <t>Manutenção</t>
        </is>
      </c>
      <c r="J51" s="16" t="n">
        <v>2351.13</v>
      </c>
      <c r="K51" s="31" t="inlineStr">
        <is>
          <t>Pendente</t>
        </is>
      </c>
    </row>
    <row r="52">
      <c r="A52" s="15" t="n">
        <v>46203</v>
      </c>
      <c r="B52" t="inlineStr">
        <is>
          <t>Entrada - Cliente B</t>
        </is>
      </c>
      <c r="C52" t="inlineStr">
        <is>
          <t>Venda de Serviço</t>
        </is>
      </c>
      <c r="D52" s="16" t="n">
        <v>1806.38</v>
      </c>
      <c r="E52" s="31" t="inlineStr">
        <is>
          <t>Pendente</t>
        </is>
      </c>
      <c r="G52" s="15" t="n">
        <v>46226</v>
      </c>
      <c r="H52" t="inlineStr">
        <is>
          <t>Saída - Fornecedor Z</t>
        </is>
      </c>
      <c r="I52" t="inlineStr">
        <is>
          <t>Imposto</t>
        </is>
      </c>
      <c r="J52" s="16" t="n">
        <v>1939.02</v>
      </c>
      <c r="K52" s="30" t="inlineStr">
        <is>
          <t>Atrasado</t>
        </is>
      </c>
    </row>
    <row r="53">
      <c r="A53" s="15" t="n">
        <v>46204</v>
      </c>
      <c r="B53" t="inlineStr">
        <is>
          <t>Entrada - Cliente B</t>
        </is>
      </c>
      <c r="C53" t="inlineStr">
        <is>
          <t>Venda de Serviço</t>
        </is>
      </c>
      <c r="D53" s="16" t="n">
        <v>2373.98</v>
      </c>
      <c r="E53" s="30" t="inlineStr">
        <is>
          <t>Atrasado</t>
        </is>
      </c>
      <c r="G53" s="15" t="n">
        <v>46227</v>
      </c>
      <c r="H53" t="inlineStr">
        <is>
          <t>Saída - Fornecedor Z</t>
        </is>
      </c>
      <c r="I53" t="inlineStr">
        <is>
          <t>Imposto</t>
        </is>
      </c>
      <c r="J53" s="16" t="n">
        <v>3922.81</v>
      </c>
      <c r="K53" s="31" t="inlineStr">
        <is>
          <t>Pendente</t>
        </is>
      </c>
    </row>
    <row r="54">
      <c r="A54" s="15" t="n">
        <v>46206</v>
      </c>
      <c r="B54" t="inlineStr">
        <is>
          <t>Entrada - Cliente B</t>
        </is>
      </c>
      <c r="C54" t="inlineStr">
        <is>
          <t>Venda de Serviço</t>
        </is>
      </c>
      <c r="D54" s="16" t="n">
        <v>367.93</v>
      </c>
      <c r="E54" s="30" t="inlineStr">
        <is>
          <t>Atrasado</t>
        </is>
      </c>
      <c r="G54" s="15" t="n">
        <v>46228</v>
      </c>
      <c r="H54" t="inlineStr">
        <is>
          <t>Saída - Fornecedor Y</t>
        </is>
      </c>
      <c r="I54" t="inlineStr">
        <is>
          <t>Imposto</t>
        </is>
      </c>
      <c r="J54" s="16" t="n">
        <v>2106.68</v>
      </c>
      <c r="K54" s="31" t="inlineStr">
        <is>
          <t>Pendente</t>
        </is>
      </c>
    </row>
    <row r="55">
      <c r="A55" s="15" t="n">
        <v>46208</v>
      </c>
      <c r="B55" t="inlineStr">
        <is>
          <t>Entrada - Cliente C</t>
        </is>
      </c>
      <c r="C55" t="inlineStr">
        <is>
          <t>Venda de Serviço</t>
        </is>
      </c>
      <c r="D55" s="16" t="n">
        <v>4452.64</v>
      </c>
      <c r="E55" s="30" t="inlineStr">
        <is>
          <t>Atrasado</t>
        </is>
      </c>
      <c r="G55" s="15" t="n">
        <v>46231</v>
      </c>
      <c r="H55" t="inlineStr">
        <is>
          <t>Saída - Fornecedor X</t>
        </is>
      </c>
      <c r="I55" t="inlineStr">
        <is>
          <t>Aluguel</t>
        </is>
      </c>
      <c r="J55" s="16" t="n">
        <v>207.32</v>
      </c>
      <c r="K55" s="30" t="inlineStr">
        <is>
          <t>Atrasado</t>
        </is>
      </c>
    </row>
    <row r="56">
      <c r="A56" s="15" t="n">
        <v>46214</v>
      </c>
      <c r="B56" t="inlineStr">
        <is>
          <t>Entrada - Cliente C</t>
        </is>
      </c>
      <c r="C56" t="inlineStr">
        <is>
          <t>Venda de Serviço</t>
        </is>
      </c>
      <c r="D56" s="16" t="n">
        <v>3355.92</v>
      </c>
      <c r="E56" s="30" t="inlineStr">
        <is>
          <t>Atrasado</t>
        </is>
      </c>
      <c r="G56" s="15" t="n">
        <v>46232</v>
      </c>
      <c r="H56" t="inlineStr">
        <is>
          <t>Saída - Fornecedor Y</t>
        </is>
      </c>
      <c r="I56" t="inlineStr">
        <is>
          <t>Fornecedor</t>
        </is>
      </c>
      <c r="J56" s="16" t="n">
        <v>4903.53</v>
      </c>
      <c r="K56" s="31" t="inlineStr">
        <is>
          <t>Pendente</t>
        </is>
      </c>
    </row>
    <row r="57">
      <c r="A57" s="15" t="n">
        <v>46216</v>
      </c>
      <c r="B57" t="inlineStr">
        <is>
          <t>Entrada - Cliente C</t>
        </is>
      </c>
      <c r="C57" t="inlineStr">
        <is>
          <t>Venda de Serviço</t>
        </is>
      </c>
      <c r="D57" s="16" t="n">
        <v>2516.96</v>
      </c>
      <c r="E57" s="30" t="inlineStr">
        <is>
          <t>Atrasado</t>
        </is>
      </c>
      <c r="G57" s="15" t="n">
        <v>46236</v>
      </c>
      <c r="H57" t="inlineStr">
        <is>
          <t>Saída - Fornecedor Y</t>
        </is>
      </c>
      <c r="I57" t="inlineStr">
        <is>
          <t>Marketing</t>
        </is>
      </c>
      <c r="J57" s="16" t="n">
        <v>2661.99</v>
      </c>
      <c r="K57" s="30" t="inlineStr">
        <is>
          <t>Atrasado</t>
        </is>
      </c>
    </row>
    <row r="58">
      <c r="A58" s="15" t="n">
        <v>46219</v>
      </c>
      <c r="B58" t="inlineStr">
        <is>
          <t>Entrada - Cliente A</t>
        </is>
      </c>
      <c r="C58" t="inlineStr">
        <is>
          <t>Venda de Serviço</t>
        </is>
      </c>
      <c r="D58" s="16" t="n">
        <v>4162.12</v>
      </c>
      <c r="E58" s="31" t="inlineStr">
        <is>
          <t>Pendente</t>
        </is>
      </c>
      <c r="G58" s="15" t="n">
        <v>46236</v>
      </c>
      <c r="H58" t="inlineStr">
        <is>
          <t>Saída - Fornecedor Z</t>
        </is>
      </c>
      <c r="I58" t="inlineStr">
        <is>
          <t>Imposto</t>
        </is>
      </c>
      <c r="J58" s="16" t="n">
        <v>2351.69</v>
      </c>
      <c r="K58" s="30" t="inlineStr">
        <is>
          <t>Atrasado</t>
        </is>
      </c>
    </row>
    <row r="59">
      <c r="A59" s="15" t="n">
        <v>46221</v>
      </c>
      <c r="B59" t="inlineStr">
        <is>
          <t>Entrada - Cliente A</t>
        </is>
      </c>
      <c r="C59" t="inlineStr">
        <is>
          <t>Venda de Serviço</t>
        </is>
      </c>
      <c r="D59" s="16" t="n">
        <v>3724.96</v>
      </c>
      <c r="E59" s="31" t="inlineStr">
        <is>
          <t>Pendente</t>
        </is>
      </c>
      <c r="G59" s="15" t="n">
        <v>46241</v>
      </c>
      <c r="H59" t="inlineStr">
        <is>
          <t>Saída - Fornecedor Z</t>
        </is>
      </c>
      <c r="I59" t="inlineStr">
        <is>
          <t>Manutenção</t>
        </is>
      </c>
      <c r="J59" s="16" t="n">
        <v>2101.48</v>
      </c>
      <c r="K59" s="30" t="inlineStr">
        <is>
          <t>Atrasado</t>
        </is>
      </c>
    </row>
    <row r="60">
      <c r="A60" s="15" t="n">
        <v>46221</v>
      </c>
      <c r="B60" t="inlineStr">
        <is>
          <t>Entrada - Cliente B</t>
        </is>
      </c>
      <c r="C60" t="inlineStr">
        <is>
          <t>Venda de Serviço</t>
        </is>
      </c>
      <c r="D60" s="16" t="n">
        <v>858.84</v>
      </c>
      <c r="E60" s="30" t="inlineStr">
        <is>
          <t>Atrasado</t>
        </is>
      </c>
      <c r="G60" s="15" t="n">
        <v>46244</v>
      </c>
      <c r="H60" t="inlineStr">
        <is>
          <t>Saída - Fornecedor Y</t>
        </is>
      </c>
      <c r="I60" t="inlineStr">
        <is>
          <t>Imposto</t>
        </is>
      </c>
      <c r="J60" s="16" t="n">
        <v>1715.16</v>
      </c>
      <c r="K60" s="31" t="inlineStr">
        <is>
          <t>Pendente</t>
        </is>
      </c>
    </row>
    <row r="61">
      <c r="A61" s="15" t="n">
        <v>46221</v>
      </c>
      <c r="B61" t="inlineStr">
        <is>
          <t>Entrada - Cliente C</t>
        </is>
      </c>
      <c r="C61" t="inlineStr">
        <is>
          <t>Venda de Serviço</t>
        </is>
      </c>
      <c r="D61" s="16" t="n">
        <v>3682.29</v>
      </c>
      <c r="E61" s="30" t="inlineStr">
        <is>
          <t>Atrasado</t>
        </is>
      </c>
      <c r="G61" s="15" t="n">
        <v>46250</v>
      </c>
      <c r="H61" t="inlineStr">
        <is>
          <t>Saída - Fornecedor Y</t>
        </is>
      </c>
      <c r="I61" t="inlineStr">
        <is>
          <t>Marketing</t>
        </is>
      </c>
      <c r="J61" s="16" t="n">
        <v>4161.32</v>
      </c>
      <c r="K61" s="30" t="inlineStr">
        <is>
          <t>Atrasado</t>
        </is>
      </c>
    </row>
    <row r="62">
      <c r="A62" s="15" t="n">
        <v>46222</v>
      </c>
      <c r="B62" t="inlineStr">
        <is>
          <t>Entrada - Cliente C</t>
        </is>
      </c>
      <c r="C62" t="inlineStr">
        <is>
          <t>Venda de Serviço</t>
        </is>
      </c>
      <c r="D62" s="16" t="n">
        <v>4997.88</v>
      </c>
      <c r="E62" s="30" t="inlineStr">
        <is>
          <t>Atrasado</t>
        </is>
      </c>
      <c r="G62" s="15" t="n">
        <v>46251</v>
      </c>
      <c r="H62" t="inlineStr">
        <is>
          <t>Saída - Fornecedor Z</t>
        </is>
      </c>
      <c r="I62" t="inlineStr">
        <is>
          <t>Imposto</t>
        </is>
      </c>
      <c r="J62" s="16" t="n">
        <v>3196.15</v>
      </c>
      <c r="K62" s="31" t="inlineStr">
        <is>
          <t>Pendente</t>
        </is>
      </c>
    </row>
    <row r="63">
      <c r="A63" s="15" t="n">
        <v>46223</v>
      </c>
      <c r="B63" t="inlineStr">
        <is>
          <t>Entrada - Cliente C</t>
        </is>
      </c>
      <c r="C63" t="inlineStr">
        <is>
          <t>Venda de Serviço</t>
        </is>
      </c>
      <c r="D63" s="16" t="n">
        <v>2295.93</v>
      </c>
      <c r="E63" s="30" t="inlineStr">
        <is>
          <t>Atrasado</t>
        </is>
      </c>
      <c r="G63" s="15" t="n">
        <v>46260</v>
      </c>
      <c r="H63" t="inlineStr">
        <is>
          <t>Saída - Fornecedor Y</t>
        </is>
      </c>
      <c r="I63" t="inlineStr">
        <is>
          <t>Aluguel</t>
        </is>
      </c>
      <c r="J63" s="16" t="n">
        <v>511.39</v>
      </c>
      <c r="K63" s="30" t="inlineStr">
        <is>
          <t>Atrasado</t>
        </is>
      </c>
    </row>
    <row r="64">
      <c r="A64" s="15" t="n">
        <v>46227</v>
      </c>
      <c r="B64" t="inlineStr">
        <is>
          <t>Entrada - Cliente C</t>
        </is>
      </c>
      <c r="C64" t="inlineStr">
        <is>
          <t>Venda de Serviço</t>
        </is>
      </c>
      <c r="D64" s="16" t="n">
        <v>2048.69</v>
      </c>
      <c r="E64" s="30" t="inlineStr">
        <is>
          <t>Atrasado</t>
        </is>
      </c>
      <c r="G64" s="15" t="n">
        <v>46263</v>
      </c>
      <c r="H64" t="inlineStr">
        <is>
          <t>Saída - Fornecedor X</t>
        </is>
      </c>
      <c r="I64" t="inlineStr">
        <is>
          <t>Salário</t>
        </is>
      </c>
      <c r="J64" s="16" t="n">
        <v>933.91</v>
      </c>
      <c r="K64" s="30" t="inlineStr">
        <is>
          <t>Atrasado</t>
        </is>
      </c>
    </row>
    <row r="65">
      <c r="A65" s="15" t="n">
        <v>46228</v>
      </c>
      <c r="B65" t="inlineStr">
        <is>
          <t>Entrada - Cliente A</t>
        </is>
      </c>
      <c r="C65" t="inlineStr">
        <is>
          <t>Venda de Serviço</t>
        </is>
      </c>
      <c r="D65" s="16" t="n">
        <v>4669.63</v>
      </c>
      <c r="E65" s="31" t="inlineStr">
        <is>
          <t>Pendente</t>
        </is>
      </c>
      <c r="G65" s="15" t="n">
        <v>46267</v>
      </c>
      <c r="H65" t="inlineStr">
        <is>
          <t>Saída - Fornecedor X</t>
        </is>
      </c>
      <c r="I65" t="inlineStr">
        <is>
          <t>Salário</t>
        </is>
      </c>
      <c r="J65" s="16" t="n">
        <v>2551.77</v>
      </c>
      <c r="K65" s="30" t="inlineStr">
        <is>
          <t>Atrasado</t>
        </is>
      </c>
    </row>
    <row r="66">
      <c r="A66" s="15" t="n">
        <v>46233</v>
      </c>
      <c r="B66" t="inlineStr">
        <is>
          <t>Entrada - Cliente C</t>
        </is>
      </c>
      <c r="C66" t="inlineStr">
        <is>
          <t>Venda de Serviço</t>
        </is>
      </c>
      <c r="D66" s="16" t="n">
        <v>2154.44</v>
      </c>
      <c r="E66" s="30" t="inlineStr">
        <is>
          <t>Atrasado</t>
        </is>
      </c>
      <c r="G66" s="15" t="n">
        <v>46270</v>
      </c>
      <c r="H66" t="inlineStr">
        <is>
          <t>Saída - Fornecedor Y</t>
        </is>
      </c>
      <c r="I66" t="inlineStr">
        <is>
          <t>Imposto</t>
        </is>
      </c>
      <c r="J66" s="16" t="n">
        <v>2527.34</v>
      </c>
      <c r="K66" s="30" t="inlineStr">
        <is>
          <t>Atrasado</t>
        </is>
      </c>
    </row>
    <row r="67">
      <c r="A67" s="15" t="n">
        <v>46236</v>
      </c>
      <c r="B67" t="inlineStr">
        <is>
          <t>Entrada - Cliente B</t>
        </is>
      </c>
      <c r="C67" t="inlineStr">
        <is>
          <t>Venda de Serviço</t>
        </is>
      </c>
      <c r="D67" s="16" t="n">
        <v>1428.46</v>
      </c>
      <c r="E67" s="30" t="inlineStr">
        <is>
          <t>Atrasado</t>
        </is>
      </c>
      <c r="G67" s="15" t="n">
        <v>46271</v>
      </c>
      <c r="H67" t="inlineStr">
        <is>
          <t>Saída - Fornecedor Y</t>
        </is>
      </c>
      <c r="I67" t="inlineStr">
        <is>
          <t>Salário</t>
        </is>
      </c>
      <c r="J67" s="16" t="n">
        <v>3152.4</v>
      </c>
      <c r="K67" s="30" t="inlineStr">
        <is>
          <t>Atrasado</t>
        </is>
      </c>
    </row>
    <row r="68">
      <c r="A68" s="15" t="n">
        <v>46242</v>
      </c>
      <c r="B68" t="inlineStr">
        <is>
          <t>Entrada - Cliente C</t>
        </is>
      </c>
      <c r="C68" t="inlineStr">
        <is>
          <t>Venda de Serviço</t>
        </is>
      </c>
      <c r="D68" s="16" t="n">
        <v>1956.72</v>
      </c>
      <c r="E68" s="31" t="inlineStr">
        <is>
          <t>Pendente</t>
        </is>
      </c>
      <c r="G68" s="15" t="n">
        <v>46271</v>
      </c>
      <c r="H68" t="inlineStr">
        <is>
          <t>Saída - Fornecedor X</t>
        </is>
      </c>
      <c r="I68" t="inlineStr">
        <is>
          <t>Imposto</t>
        </is>
      </c>
      <c r="J68" s="16" t="n">
        <v>958.27</v>
      </c>
      <c r="K68" s="31" t="inlineStr">
        <is>
          <t>Pendente</t>
        </is>
      </c>
    </row>
    <row r="69">
      <c r="A69" s="15" t="n">
        <v>46245</v>
      </c>
      <c r="B69" t="inlineStr">
        <is>
          <t>Entrada - Cliente A</t>
        </is>
      </c>
      <c r="C69" t="inlineStr">
        <is>
          <t>Venda de Serviço</t>
        </is>
      </c>
      <c r="D69" s="16" t="n">
        <v>4413.01</v>
      </c>
      <c r="E69" s="30" t="inlineStr">
        <is>
          <t>Atrasado</t>
        </is>
      </c>
      <c r="G69" s="15" t="n">
        <v>46272</v>
      </c>
      <c r="H69" t="inlineStr">
        <is>
          <t>Saída - Fornecedor Y</t>
        </is>
      </c>
      <c r="I69" t="inlineStr">
        <is>
          <t>Manutenção</t>
        </is>
      </c>
      <c r="J69" s="16" t="n">
        <v>3549.43</v>
      </c>
      <c r="K69" s="30" t="inlineStr">
        <is>
          <t>Atrasado</t>
        </is>
      </c>
    </row>
    <row r="70">
      <c r="A70" s="15" t="n">
        <v>46251</v>
      </c>
      <c r="B70" t="inlineStr">
        <is>
          <t>Entrada - Cliente A</t>
        </is>
      </c>
      <c r="C70" t="inlineStr">
        <is>
          <t>Venda de Serviço</t>
        </is>
      </c>
      <c r="D70" s="16" t="n">
        <v>3791.12</v>
      </c>
      <c r="E70" s="30" t="inlineStr">
        <is>
          <t>Atrasado</t>
        </is>
      </c>
      <c r="G70" s="15" t="n">
        <v>46274</v>
      </c>
      <c r="H70" t="inlineStr">
        <is>
          <t>Saída - Fornecedor X</t>
        </is>
      </c>
      <c r="I70" t="inlineStr">
        <is>
          <t>Imposto</t>
        </is>
      </c>
      <c r="J70" s="16" t="n">
        <v>4708.26</v>
      </c>
      <c r="K70" s="31" t="inlineStr">
        <is>
          <t>Pendente</t>
        </is>
      </c>
    </row>
    <row r="71">
      <c r="A71" s="15" t="n">
        <v>46252</v>
      </c>
      <c r="B71" t="inlineStr">
        <is>
          <t>Entrada - Cliente C</t>
        </is>
      </c>
      <c r="C71" t="inlineStr">
        <is>
          <t>Venda de Serviço</t>
        </is>
      </c>
      <c r="D71" s="16" t="n">
        <v>603.78</v>
      </c>
      <c r="E71" s="30" t="inlineStr">
        <is>
          <t>Atrasado</t>
        </is>
      </c>
      <c r="G71" s="15" t="n">
        <v>46276</v>
      </c>
      <c r="H71" t="inlineStr">
        <is>
          <t>Saída - Fornecedor X</t>
        </is>
      </c>
      <c r="I71" t="inlineStr">
        <is>
          <t>Salário</t>
        </is>
      </c>
      <c r="J71" s="16" t="n">
        <v>816.24</v>
      </c>
      <c r="K71" s="30" t="inlineStr">
        <is>
          <t>Atrasado</t>
        </is>
      </c>
    </row>
    <row r="72">
      <c r="A72" s="15" t="n">
        <v>46256</v>
      </c>
      <c r="B72" t="inlineStr">
        <is>
          <t>Entrada - Cliente B</t>
        </is>
      </c>
      <c r="C72" t="inlineStr">
        <is>
          <t>Venda de Serviço</t>
        </is>
      </c>
      <c r="D72" s="16" t="n">
        <v>465.54</v>
      </c>
      <c r="E72" s="31" t="inlineStr">
        <is>
          <t>Pendente</t>
        </is>
      </c>
      <c r="G72" s="15" t="n">
        <v>46276</v>
      </c>
      <c r="H72" t="inlineStr">
        <is>
          <t>Saída - Fornecedor X</t>
        </is>
      </c>
      <c r="I72" t="inlineStr">
        <is>
          <t>Marketing</t>
        </is>
      </c>
      <c r="J72" s="16" t="n">
        <v>2539.11</v>
      </c>
      <c r="K72" s="30" t="inlineStr">
        <is>
          <t>Atrasado</t>
        </is>
      </c>
    </row>
    <row r="73">
      <c r="A73" s="15" t="n">
        <v>46258</v>
      </c>
      <c r="B73" t="inlineStr">
        <is>
          <t>Entrada - Cliente A</t>
        </is>
      </c>
      <c r="C73" t="inlineStr">
        <is>
          <t>Venda de Serviço</t>
        </is>
      </c>
      <c r="D73" s="16" t="n">
        <v>2501.88</v>
      </c>
      <c r="E73" s="30" t="inlineStr">
        <is>
          <t>Atrasado</t>
        </is>
      </c>
      <c r="G73" s="15" t="n">
        <v>46280</v>
      </c>
      <c r="H73" t="inlineStr">
        <is>
          <t>Saída - Fornecedor Y</t>
        </is>
      </c>
      <c r="I73" t="inlineStr">
        <is>
          <t>Salário</t>
        </is>
      </c>
      <c r="J73" s="16" t="n">
        <v>680.86</v>
      </c>
      <c r="K73" s="31" t="inlineStr">
        <is>
          <t>Pendente</t>
        </is>
      </c>
    </row>
    <row r="74">
      <c r="A74" s="15" t="n">
        <v>46260</v>
      </c>
      <c r="B74" t="inlineStr">
        <is>
          <t>Entrada - Cliente B</t>
        </is>
      </c>
      <c r="C74" t="inlineStr">
        <is>
          <t>Venda de Serviço</t>
        </is>
      </c>
      <c r="D74" s="16" t="n">
        <v>3620.36</v>
      </c>
      <c r="E74" s="30" t="inlineStr">
        <is>
          <t>Atrasado</t>
        </is>
      </c>
      <c r="G74" s="15" t="n">
        <v>46281</v>
      </c>
      <c r="H74" t="inlineStr">
        <is>
          <t>Saída - Fornecedor Z</t>
        </is>
      </c>
      <c r="I74" t="inlineStr">
        <is>
          <t>Imposto</t>
        </is>
      </c>
      <c r="J74" s="16" t="n">
        <v>3152.66</v>
      </c>
      <c r="K74" s="30" t="inlineStr">
        <is>
          <t>Atrasado</t>
        </is>
      </c>
    </row>
    <row r="75">
      <c r="A75" s="15" t="n">
        <v>46261</v>
      </c>
      <c r="B75" t="inlineStr">
        <is>
          <t>Entrada - Cliente B</t>
        </is>
      </c>
      <c r="C75" t="inlineStr">
        <is>
          <t>Venda de Serviço</t>
        </is>
      </c>
      <c r="D75" s="16" t="n">
        <v>1606.86</v>
      </c>
      <c r="E75" s="31" t="inlineStr">
        <is>
          <t>Pendente</t>
        </is>
      </c>
      <c r="G75" s="15" t="n">
        <v>46290</v>
      </c>
      <c r="H75" t="inlineStr">
        <is>
          <t>Saída - Fornecedor Y</t>
        </is>
      </c>
      <c r="I75" t="inlineStr">
        <is>
          <t>Fornecedor</t>
        </is>
      </c>
      <c r="J75" s="16" t="n">
        <v>4517.09</v>
      </c>
      <c r="K75" s="31" t="inlineStr">
        <is>
          <t>Pendente</t>
        </is>
      </c>
    </row>
    <row r="76">
      <c r="A76" s="15" t="n">
        <v>46261</v>
      </c>
      <c r="B76" t="inlineStr">
        <is>
          <t>Entrada - Cliente C</t>
        </is>
      </c>
      <c r="C76" t="inlineStr">
        <is>
          <t>Venda de Serviço</t>
        </is>
      </c>
      <c r="D76" s="16" t="n">
        <v>674.79</v>
      </c>
      <c r="E76" s="30" t="inlineStr">
        <is>
          <t>Atrasado</t>
        </is>
      </c>
    </row>
    <row r="77">
      <c r="A77" s="15" t="n">
        <v>46263</v>
      </c>
      <c r="B77" t="inlineStr">
        <is>
          <t>Entrada - Cliente B</t>
        </is>
      </c>
      <c r="C77" t="inlineStr">
        <is>
          <t>Venda de Serviço</t>
        </is>
      </c>
      <c r="D77" s="16" t="n">
        <v>4255.4</v>
      </c>
      <c r="E77" s="31" t="inlineStr">
        <is>
          <t>Pendente</t>
        </is>
      </c>
    </row>
    <row r="78">
      <c r="A78" s="15" t="n">
        <v>46264</v>
      </c>
      <c r="B78" t="inlineStr">
        <is>
          <t>Entrada - Cliente C</t>
        </is>
      </c>
      <c r="C78" t="inlineStr">
        <is>
          <t>Venda de Serviço</t>
        </is>
      </c>
      <c r="D78" s="16" t="n">
        <v>3426.23</v>
      </c>
      <c r="E78" s="31" t="inlineStr">
        <is>
          <t>Pendente</t>
        </is>
      </c>
    </row>
    <row r="79">
      <c r="A79" s="15" t="n">
        <v>46272</v>
      </c>
      <c r="B79" t="inlineStr">
        <is>
          <t>Entrada - Cliente A</t>
        </is>
      </c>
      <c r="C79" t="inlineStr">
        <is>
          <t>Venda de Serviço</t>
        </is>
      </c>
      <c r="D79" s="16" t="n">
        <v>2962.78</v>
      </c>
      <c r="E79" s="30" t="inlineStr">
        <is>
          <t>Atrasado</t>
        </is>
      </c>
    </row>
    <row r="80">
      <c r="A80" s="15" t="n">
        <v>46273</v>
      </c>
      <c r="B80" t="inlineStr">
        <is>
          <t>Entrada - Cliente B</t>
        </is>
      </c>
      <c r="C80" t="inlineStr">
        <is>
          <t>Venda de Serviço</t>
        </is>
      </c>
      <c r="D80" s="16" t="n">
        <v>473.98</v>
      </c>
      <c r="E80" s="30" t="inlineStr">
        <is>
          <t>Atrasado</t>
        </is>
      </c>
    </row>
    <row r="81">
      <c r="A81" s="15" t="n">
        <v>46278</v>
      </c>
      <c r="B81" t="inlineStr">
        <is>
          <t>Entrada - Cliente A</t>
        </is>
      </c>
      <c r="C81" t="inlineStr">
        <is>
          <t>Venda de Serviço</t>
        </is>
      </c>
      <c r="D81" s="16" t="n">
        <v>3752.48</v>
      </c>
      <c r="E81" s="30" t="inlineStr">
        <is>
          <t>Atrasado</t>
        </is>
      </c>
    </row>
    <row r="82">
      <c r="A82" s="15" t="n">
        <v>46279</v>
      </c>
      <c r="B82" t="inlineStr">
        <is>
          <t>Entrada - Cliente B</t>
        </is>
      </c>
      <c r="C82" t="inlineStr">
        <is>
          <t>Venda de Serviço</t>
        </is>
      </c>
      <c r="D82" s="16" t="n">
        <v>4287.26</v>
      </c>
      <c r="E82" s="31" t="inlineStr">
        <is>
          <t>Pendente</t>
        </is>
      </c>
    </row>
    <row r="83">
      <c r="A83" s="15" t="n">
        <v>46290</v>
      </c>
      <c r="B83" t="inlineStr">
        <is>
          <t>Entrada - Cliente A</t>
        </is>
      </c>
      <c r="C83" t="inlineStr">
        <is>
          <t>Venda de Serviço</t>
        </is>
      </c>
      <c r="D83" s="16" t="n">
        <v>2782.36</v>
      </c>
      <c r="E83" s="31" t="inlineStr">
        <is>
          <t>Pendente</t>
        </is>
      </c>
    </row>
  </sheetData>
  <mergeCells count="4">
    <mergeCell ref="G10:K10"/>
    <mergeCell ref="A1:J1"/>
    <mergeCell ref="A10:E10"/>
    <mergeCell ref="A2:J2"/>
  </mergeCells>
  <conditionalFormatting sqref="D7">
    <cfRule type="cellIs" priority="1" operator="lessThan" dxfId="2">
      <formula>0</formula>
    </cfRule>
    <cfRule type="cellIs" priority="2" operator="greaterThanOrEqual" dxfId="3">
      <formula>0</formula>
    </cfRule>
  </conditionalFormatting>
  <pageMargins left="0.75" right="0.75" top="1" bottom="1" header="0.5" footer="0.5"/>
  <pageSetup orientation="landscape" paperSize="9" fitToHeight="0" fitToWidth="1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1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8" customWidth="1" min="2" max="2"/>
  </cols>
  <sheetData>
    <row r="1" ht="26" customHeight="1">
      <c r="A1" s="1" t="inlineStr">
        <is>
          <t>DRE Simplificado</t>
        </is>
      </c>
      <c r="B1" s="2" t="n"/>
      <c r="C1" s="2" t="n"/>
      <c r="D1" s="2" t="n"/>
      <c r="E1" s="2" t="n"/>
    </row>
    <row r="2">
      <c r="A2" s="3" t="inlineStr">
        <is>
          <t>Demonstrativo de Resultado — regime de competência (todas as transações lançadas, pagas ou não)</t>
        </is>
      </c>
      <c r="B2" s="2" t="n"/>
      <c r="C2" s="2" t="n"/>
      <c r="D2" s="2" t="n"/>
      <c r="E2" s="2" t="n"/>
    </row>
    <row r="4">
      <c r="A4" s="32" t="inlineStr">
        <is>
          <t>Receita Bruta (Entradas)</t>
        </is>
      </c>
      <c r="B4" s="33">
        <f>SUMIFS(Dados!$E$2:$E$201,Dados!$D$2:$D$201,"Entrada")</f>
        <v>305963.76</v>
      </c>
    </row>
    <row r="5">
      <c r="A5" s="34" t="inlineStr">
        <is>
          <t>Despesas Operacionais</t>
        </is>
      </c>
    </row>
    <row r="6">
      <c r="A6" t="inlineStr">
        <is>
          <t xml:space="preserve">   Aluguel</t>
        </is>
      </c>
      <c r="B6" s="16">
        <f>SUMIFS(Dados!$E$2:$E$201,Dados!$D$2:$D$201,"Saída",Dados!$C$2:$C$201,"Aluguel")</f>
        <v>26246.34</v>
      </c>
    </row>
    <row r="7">
      <c r="A7" t="inlineStr">
        <is>
          <t xml:space="preserve">   Fornecedor</t>
        </is>
      </c>
      <c r="B7" s="16">
        <f>SUMIFS(Dados!$E$2:$E$201,Dados!$D$2:$D$201,"Saída",Dados!$C$2:$C$201,"Fornecedor")</f>
        <v>46762.05</v>
      </c>
    </row>
    <row r="8">
      <c r="A8" t="inlineStr">
        <is>
          <t xml:space="preserve">   Imposto</t>
        </is>
      </c>
      <c r="B8" s="16">
        <f>SUMIFS(Dados!$E$2:$E$201,Dados!$D$2:$D$201,"Saída",Dados!$C$2:$C$201,"Imposto")</f>
        <v>68429.45</v>
      </c>
    </row>
    <row r="9">
      <c r="A9" t="inlineStr">
        <is>
          <t xml:space="preserve">   Manutenção</t>
        </is>
      </c>
      <c r="B9" s="16">
        <f>SUMIFS(Dados!$E$2:$E$201,Dados!$D$2:$D$201,"Saída",Dados!$C$2:$C$201,"Manutenção")</f>
        <v>28808.36</v>
      </c>
    </row>
    <row r="10">
      <c r="A10" t="inlineStr">
        <is>
          <t xml:space="preserve">   Marketing</t>
        </is>
      </c>
      <c r="B10" s="16">
        <f>SUMIFS(Dados!$E$2:$E$201,Dados!$D$2:$D$201,"Saída",Dados!$C$2:$C$201,"Marketing")</f>
        <v>25904.33</v>
      </c>
    </row>
    <row r="11">
      <c r="A11" t="inlineStr">
        <is>
          <t xml:space="preserve">   Salário</t>
        </is>
      </c>
      <c r="B11" s="16">
        <f>SUMIFS(Dados!$E$2:$E$201,Dados!$D$2:$D$201,"Saída",Dados!$C$2:$C$201,"Salário")</f>
        <v>47849.25</v>
      </c>
    </row>
    <row r="12">
      <c r="A12" s="18" t="inlineStr">
        <is>
          <t>Total de Despesas</t>
        </is>
      </c>
      <c r="B12" s="35">
        <f>SUM(B6:B11)</f>
        <v>243999.78</v>
      </c>
    </row>
    <row r="14">
      <c r="A14" s="36" t="inlineStr">
        <is>
          <t>Resultado Líquido</t>
        </is>
      </c>
      <c r="B14" s="37">
        <f>B4-B12</f>
        <v>61963.98</v>
      </c>
    </row>
    <row r="15">
      <c r="A15" s="38" t="inlineStr">
        <is>
          <t>Margem Líquida</t>
        </is>
      </c>
      <c r="B15" s="39">
        <f>B14/B4</f>
        <v>0.2025206515</v>
      </c>
    </row>
  </sheetData>
  <mergeCells count="2">
    <mergeCell ref="A2:E2"/>
    <mergeCell ref="A1:E1"/>
  </mergeCells>
  <conditionalFormatting sqref="B14">
    <cfRule type="cellIs" priority="1" operator="lessThan" dxfId="4">
      <formula>0</formula>
    </cfRule>
    <cfRule type="cellIs" priority="2" operator="greaterThanOrEqual" dxfId="5">
      <formula>0</formula>
    </cfRule>
  </conditionalFormatting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