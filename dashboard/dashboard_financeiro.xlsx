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" sheetId="2" state="visible" r:id="rId2"/>
    <sheet name="Fluxo Mensal" sheetId="3" state="visible" r:id="rId3"/>
    <sheet name="Contas a Pagar e Receber" sheetId="4" state="visible" r:id="rId4"/>
    <sheet name="DRE" sheetId="5" state="visible" r:id="rId5"/>
  </sheets>
  <definedNames>
    <definedName name="_xlnm._FilterDatabase" localSheetId="1" hidden="1">'Dados'!$B$4:$G$204</definedName>
    <definedName name="_xlnm.Print_Titles" localSheetId="1">'Dados'!$4:$4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&quot;R$&quot; #,##0.00"/>
    <numFmt numFmtId="167" formatCode="mmm/yyyy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0B0B0B"/>
      <sz val="17"/>
    </font>
    <font>
      <name val="Arial"/>
      <i val="1"/>
      <color rgb="0052514E"/>
      <sz val="10"/>
    </font>
    <font>
      <name val="Arial"/>
      <b val="1"/>
      <color rgb="00FFFFFF"/>
      <sz val="10"/>
    </font>
    <font>
      <name val="Arial"/>
      <color rgb="0052514E"/>
      <sz val="10"/>
    </font>
    <font>
      <name val="Arial"/>
      <b val="1"/>
      <color rgb="000B0B0B"/>
      <sz val="10"/>
    </font>
    <font>
      <name val="Arial"/>
      <color rgb="00E34948"/>
      <sz val="10"/>
    </font>
    <font>
      <name val="Arial"/>
      <color rgb="000B0B0B"/>
      <sz val="10"/>
    </font>
    <font>
      <name val="Arial"/>
      <color rgb="002A78D6"/>
      <sz val="10"/>
    </font>
    <font>
      <name val="Arial"/>
      <b val="1"/>
      <color rgb="000B0B0B"/>
      <sz val="12"/>
    </font>
    <font>
      <name val="Arial"/>
      <color rgb="00C87E00"/>
      <sz val="10"/>
    </font>
    <font>
      <name val="Arial"/>
      <color rgb="00D03B3B"/>
      <sz val="10"/>
    </font>
    <font>
      <name val="Arial"/>
      <b val="1"/>
      <color rgb="002A78D6"/>
      <sz val="10"/>
    </font>
    <font>
      <name val="Arial"/>
      <b val="1"/>
      <color rgb="00E34948"/>
      <sz val="10"/>
    </font>
    <font>
      <name val="Arial"/>
      <b val="1"/>
      <color rgb="000B0B0B"/>
      <sz val="11"/>
    </font>
    <font>
      <name val="Arial"/>
      <b val="1"/>
      <color rgb="002A78D6"/>
      <sz val="11"/>
    </font>
    <font>
      <name val="Arial"/>
      <b val="1"/>
      <color rgb="0052514E"/>
      <sz val="10"/>
    </font>
    <font>
      <name val="Arial"/>
      <b val="1"/>
      <color rgb="0052514E"/>
      <sz val="9"/>
    </font>
    <font>
      <name val="Arial"/>
      <b val="1"/>
      <color rgb="002A78D6"/>
      <sz val="17"/>
    </font>
    <font>
      <name val="Arial"/>
      <color rgb="00898781"/>
      <sz val="9"/>
    </font>
    <font>
      <name val="Arial"/>
      <b val="1"/>
      <color rgb="00E34948"/>
      <sz val="17"/>
    </font>
    <font>
      <name val="Arial"/>
      <i val="1"/>
      <color rgb="00898781"/>
      <sz val="8"/>
    </font>
  </fonts>
  <fills count="4">
    <fill>
      <patternFill/>
    </fill>
    <fill>
      <patternFill patternType="gray125"/>
    </fill>
    <fill>
      <patternFill patternType="solid">
        <fgColor rgb="000B0B0B"/>
        <bgColor rgb="000B0B0B"/>
      </patternFill>
    </fill>
    <fill>
      <patternFill patternType="solid">
        <fgColor rgb="00F2F1EC"/>
        <bgColor rgb="00F2F1EC"/>
      </patternFill>
    </fill>
  </fills>
  <borders count="7">
    <border>
      <left/>
      <right/>
      <top/>
      <bottom/>
      <diagonal/>
    </border>
    <border>
      <bottom style="thin">
        <color rgb="00E1E0D9"/>
      </bottom>
    </border>
    <border/>
    <border>
      <top style="medium">
        <color rgb="000B0B0B"/>
      </top>
    </border>
    <border>
      <bottom style="medium">
        <color rgb="000B0B0B"/>
      </bottom>
    </border>
    <border>
      <left/>
      <right/>
      <top/>
      <bottom style="thin">
        <color rgb="00E1E0D9"/>
      </bottom>
      <diagonal/>
    </border>
    <border>
      <left/>
      <right/>
      <top style="medium">
        <color rgb="000B0B0B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7" fillId="3" borderId="0" applyAlignment="1" pivotButton="0" quotePrefix="0" xfId="0">
      <alignment horizontal="left" vertical="bottom" indent="1"/>
    </xf>
    <xf numFmtId="0" fontId="0" fillId="3" borderId="0" pivotButton="0" quotePrefix="0" xfId="0"/>
    <xf numFmtId="166" fontId="18" fillId="3" borderId="0" applyAlignment="1" pivotButton="0" quotePrefix="0" xfId="0">
      <alignment horizontal="left" vertical="center" indent="1"/>
    </xf>
    <xf numFmtId="166" fontId="20" fillId="3" borderId="0" applyAlignment="1" pivotButton="0" quotePrefix="0" xfId="0">
      <alignment horizontal="left" vertical="center" indent="1"/>
    </xf>
    <xf numFmtId="166" fontId="1" fillId="3" borderId="0" applyAlignment="1" pivotButton="0" quotePrefix="0" xfId="0">
      <alignment horizontal="left" vertical="center" indent="1"/>
    </xf>
    <xf numFmtId="0" fontId="19" fillId="3" borderId="0" applyAlignment="1" pivotButton="0" quotePrefix="0" xfId="0">
      <alignment horizontal="left" vertical="top" indent="1"/>
    </xf>
    <xf numFmtId="0" fontId="9" fillId="0" borderId="4" pivotButton="0" quotePrefix="0" xfId="0"/>
    <xf numFmtId="0" fontId="0" fillId="0" borderId="4" pivotButton="0" quotePrefix="0" xfId="0"/>
    <xf numFmtId="0" fontId="5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vertical="center" indent="1"/>
    </xf>
    <xf numFmtId="0" fontId="21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vertical="center" indent="1"/>
    </xf>
    <xf numFmtId="166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indent="1"/>
    </xf>
    <xf numFmtId="167" fontId="5" fillId="0" borderId="1" applyAlignment="1" pivotButton="0" quotePrefix="0" xfId="0">
      <alignment horizontal="left" vertical="center" indent="1"/>
    </xf>
    <xf numFmtId="166" fontId="8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 indent="1"/>
    </xf>
    <xf numFmtId="166" fontId="5" fillId="0" borderId="3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166" fontId="10" fillId="0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6" fontId="12" fillId="0" borderId="1" applyAlignment="1" pivotButton="0" quotePrefix="0" xfId="0">
      <alignment vertical="center"/>
    </xf>
    <xf numFmtId="166" fontId="13" fillId="0" borderId="1" applyAlignment="1" pivotButton="0" quotePrefix="0" xfId="0">
      <alignment vertical="center"/>
    </xf>
    <xf numFmtId="0" fontId="0" fillId="0" borderId="6" pivotButton="0" quotePrefix="0" xfId="0"/>
    <xf numFmtId="166" fontId="14" fillId="0" borderId="3" applyAlignment="1" pivotButton="0" quotePrefix="0" xfId="0">
      <alignment vertical="center"/>
    </xf>
    <xf numFmtId="0" fontId="14" fillId="0" borderId="1" applyAlignment="1" pivotButton="0" quotePrefix="0" xfId="0">
      <alignment vertical="center" indent="1"/>
    </xf>
    <xf numFmtId="166" fontId="15" fillId="0" borderId="1" applyAlignment="1" pivotButton="0" quotePrefix="0" xfId="0">
      <alignment vertical="center"/>
    </xf>
    <xf numFmtId="0" fontId="16" fillId="0" borderId="2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3"/>
    </xf>
    <xf numFmtId="0" fontId="9" fillId="0" borderId="3" applyAlignment="1" pivotButton="0" quotePrefix="0" xfId="0">
      <alignment vertical="center" indent="1"/>
    </xf>
    <xf numFmtId="166" fontId="9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 indent="1"/>
    </xf>
    <xf numFmtId="168" fontId="2" fillId="0" borderId="2" applyAlignment="1" pivotButton="0" quotePrefix="0" xfId="0">
      <alignment vertical="center"/>
    </xf>
  </cellXfs>
  <cellStyles count="1">
    <cellStyle name="Normal" xfId="0" builtinId="0" hidden="0"/>
  </cellStyles>
  <dxfs count="9">
    <dxf>
      <font>
        <name val="Arial"/>
        <b val="1"/>
        <color rgb="00006300"/>
      </font>
      <fill>
        <patternFill patternType="solid">
          <fgColor rgb="00E6F4E6"/>
          <bgColor rgb="00E6F4E6"/>
        </patternFill>
      </fill>
    </dxf>
    <dxf>
      <font>
        <name val="Arial"/>
        <b val="1"/>
        <color rgb="00C87E00"/>
      </font>
      <fill>
        <patternFill patternType="solid">
          <fgColor rgb="00FEF3DD"/>
          <bgColor rgb="00FEF3DD"/>
        </patternFill>
      </fill>
    </dxf>
    <dxf>
      <font>
        <name val="Arial"/>
        <b val="1"/>
        <color rgb="00D03B3B"/>
      </font>
      <fill>
        <patternFill patternType="solid">
          <fgColor rgb="00FCEBEA"/>
          <bgColor rgb="00FCEBEA"/>
        </patternFill>
      </fill>
    </dxf>
    <dxf>
      <font>
        <name val="Arial"/>
        <b val="1"/>
        <color rgb="00D03B3B"/>
        <sz val="10"/>
      </font>
    </dxf>
    <dxf>
      <font>
        <name val="Arial"/>
        <b val="1"/>
        <color rgb="00006300"/>
        <sz val="10"/>
      </font>
    </dxf>
    <dxf>
      <font>
        <name val="Arial"/>
        <b val="1"/>
        <color rgb="00D03B3B"/>
        <sz val="11"/>
      </font>
    </dxf>
    <dxf>
      <font>
        <name val="Arial"/>
        <b val="1"/>
        <color rgb="00006300"/>
        <sz val="11"/>
      </font>
    </dxf>
    <dxf>
      <font>
        <name val="Arial"/>
        <b val="1"/>
        <color rgb="00D03B3B"/>
        <sz val="12"/>
      </font>
    </dxf>
    <dxf>
      <font>
        <name val="Arial"/>
        <b val="1"/>
        <color rgb="00006300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'Fluxo Mensal'!C4</f>
              <strCache>
                <ptCount val="1"/>
                <pt idx="0">
                  <v>Entradas</v>
                </pt>
              </strCache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Mensal'!$B$5:$B$11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Mensal'!$C$5:$C$11</f>
              <numCache>
                <formatCode>"R$" #,##0.00</formatCode>
                <ptCount val="7"/>
                <pt idx="0">
                  <v>0</v>
                </pt>
                <pt idx="1">
                  <v>17510.88</v>
                </pt>
                <pt idx="2">
                  <v>13227.69</v>
                </pt>
                <pt idx="3">
                  <v>10106.95</v>
                </pt>
                <pt idx="4">
                  <v>15254.72</v>
                </pt>
                <pt idx="5">
                  <v>14949.33</v>
                </pt>
                <pt idx="6">
                  <v>11926.98</v>
                </pt>
              </numCache>
            </numRef>
          </val>
        </ser>
        <ser>
          <idx val="1"/>
          <order val="1"/>
          <tx>
            <strRef>
              <f>'Fluxo Mensal'!D4</f>
              <strCache>
                <ptCount val="1"/>
                <pt idx="0">
                  <v>Saídas</v>
                </pt>
              </strCache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Mensal'!$B$5:$B$11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Mensal'!$D$5:$D$11</f>
              <numCache>
                <formatCode>"R$" #,##0.00</formatCode>
                <ptCount val="7"/>
                <pt idx="0">
                  <v>0</v>
                </pt>
                <pt idx="1">
                  <v>3978.99</v>
                </pt>
                <pt idx="2">
                  <v>9067.969999999999</v>
                </pt>
                <pt idx="3">
                  <v>0</v>
                </pt>
                <pt idx="4">
                  <v>24986.93</v>
                </pt>
                <pt idx="5">
                  <v>6810.780000000001</v>
                </pt>
                <pt idx="6">
                  <v>16794.63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'Fluxo Mensal'!C4</f>
              <strCache>
                <ptCount val="1"/>
                <pt idx="0">
                  <v>Entradas</v>
                </pt>
              </strCache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Mensal'!$B$5:$B$11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Mensal'!$C$5:$C$11</f>
              <numCache>
                <formatCode>"R$" #,##0.00</formatCode>
                <ptCount val="7"/>
                <pt idx="0">
                  <v>0</v>
                </pt>
                <pt idx="1">
                  <v>17510.88</v>
                </pt>
                <pt idx="2">
                  <v>13227.69</v>
                </pt>
                <pt idx="3">
                  <v>10106.95</v>
                </pt>
                <pt idx="4">
                  <v>15254.72</v>
                </pt>
                <pt idx="5">
                  <v>14949.33</v>
                </pt>
                <pt idx="6">
                  <v>11926.98</v>
                </pt>
              </numCache>
            </numRef>
          </val>
        </ser>
        <ser>
          <idx val="1"/>
          <order val="1"/>
          <tx>
            <strRef>
              <f>'Fluxo Mensal'!D4</f>
              <strCache>
                <ptCount val="1"/>
                <pt idx="0">
                  <v>Saídas</v>
                </pt>
              </strCache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Mensal'!$B$5:$B$11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Mensal'!$D$5:$D$11</f>
              <numCache>
                <formatCode>"R$" #,##0.00</formatCode>
                <ptCount val="7"/>
                <pt idx="0">
                  <v>0</v>
                </pt>
                <pt idx="1">
                  <v>3978.99</v>
                </pt>
                <pt idx="2">
                  <v>9067.969999999999</v>
                </pt>
                <pt idx="3">
                  <v>0</v>
                </pt>
                <pt idx="4">
                  <v>24986.93</v>
                </pt>
                <pt idx="5">
                  <v>6810.780000000001</v>
                </pt>
                <pt idx="6">
                  <v>16794.63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'Fluxo Mensal'!F4</f>
              <strCache>
                <ptCount val="1"/>
                <pt idx="0">
                  <v>Saldo acumulado</v>
                </pt>
              </strCache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'Fluxo Mensal'!$B$5:$B$11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Mensal'!$F$5:$F$11</f>
              <numCache>
                <formatCode>"R$" #,##0.00</formatCode>
                <ptCount val="7"/>
                <pt idx="0">
                  <v>0</v>
                </pt>
                <pt idx="1">
                  <v>13531.89</v>
                </pt>
                <pt idx="2">
                  <v>17691.61</v>
                </pt>
                <pt idx="3">
                  <v>27798.56</v>
                </pt>
                <pt idx="4">
                  <v>18066.35</v>
                </pt>
                <pt idx="5">
                  <v>26204.9</v>
                </pt>
                <pt idx="6">
                  <v>21337.25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E34948"/>
            </a:solidFill>
            <a:ln>
              <a:prstDash val="solid"/>
            </a:ln>
          </spPr>
          <cat>
            <strRef>
              <f>'DRE'!$B$6:$B$11</f>
              <strCache>
                <ptCount val="6"/>
                <pt idx="0">
                  <v>Aluguel</v>
                </pt>
                <pt idx="1">
                  <v>Fornecedor</v>
                </pt>
                <pt idx="2">
                  <v>Imposto</v>
                </pt>
                <pt idx="3">
                  <v>Manutenção</v>
                </pt>
                <pt idx="4">
                  <v>Marketing</v>
                </pt>
                <pt idx="5">
                  <v>Salário</v>
                </pt>
              </strCache>
            </strRef>
          </cat>
          <val>
            <numRef>
              <f>'DRE'!$C$6:$C$11</f>
              <numCache>
                <formatCode>"R$" #,##0.00</formatCode>
                <ptCount val="6"/>
                <pt idx="0">
                  <v>26246.34</v>
                </pt>
                <pt idx="1">
                  <v>46762.05</v>
                </pt>
                <pt idx="2">
                  <v>68429.45</v>
                </pt>
                <pt idx="3">
                  <v>28808.36</v>
                </pt>
                <pt idx="4">
                  <v>25904.33</v>
                </pt>
                <pt idx="5">
                  <v>47849.25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73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32</row>
      <rowOff>0</rowOff>
    </from>
    <ext cx="73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2" customWidth="1" min="4" max="4"/>
    <col width="15" customWidth="1" min="5" max="5"/>
    <col width="15" customWidth="1" min="6" max="6"/>
    <col width="2" customWidth="1" min="7" max="7"/>
    <col width="15" customWidth="1" min="8" max="8"/>
    <col width="15" customWidth="1" min="9" max="9"/>
  </cols>
  <sheetData>
    <row r="1" ht="28" customHeight="1">
      <c r="B1" s="1" t="inlineStr">
        <is>
          <t>Dashboard financeiro — PME</t>
        </is>
      </c>
    </row>
    <row r="2" ht="18" customHeight="1">
      <c r="B2" s="2" t="inlineStr">
        <is>
          <t>mar/2026 a set/2026 · 200 transações tratadas a partir de um export bruto simulado (ver README)</t>
        </is>
      </c>
    </row>
    <row r="3" ht="10" customHeight="1"/>
    <row r="4" ht="20" customHeight="1">
      <c r="B4" s="3" t="inlineStr">
        <is>
          <t>RECEBIDO</t>
        </is>
      </c>
      <c r="C4" s="4" t="n"/>
      <c r="E4" s="3" t="inlineStr">
        <is>
          <t>PAGO</t>
        </is>
      </c>
      <c r="F4" s="4" t="n"/>
      <c r="H4" s="3" t="inlineStr">
        <is>
          <t>SALDO DE CAIXA</t>
        </is>
      </c>
      <c r="I4" s="4" t="n"/>
    </row>
    <row r="5" ht="30" customHeight="1">
      <c r="B5" s="5">
        <f>'Fluxo Mensal'!C12</f>
        <v>82976.55</v>
      </c>
      <c r="C5" s="4" t="n"/>
      <c r="E5" s="6">
        <f>'Fluxo Mensal'!D12</f>
        <v>61639.3</v>
      </c>
      <c r="F5" s="4" t="n"/>
      <c r="H5" s="7">
        <f>'Fluxo Mensal'!E12</f>
        <v>21337.25</v>
      </c>
      <c r="I5" s="4" t="n"/>
    </row>
    <row r="6" ht="18" customHeight="1">
      <c r="B6" s="8" t="inlineStr">
        <is>
          <t>entrou no caixa (pago)</t>
        </is>
      </c>
      <c r="C6" s="4" t="n"/>
      <c r="E6" s="8" t="inlineStr">
        <is>
          <t>saiu do caixa (pago)</t>
        </is>
      </c>
      <c r="F6" s="4" t="n"/>
      <c r="H6" s="8" t="inlineStr">
        <is>
          <t>recebido − pago</t>
        </is>
      </c>
      <c r="I6" s="4" t="n"/>
    </row>
    <row r="7" ht="10" customHeight="1"/>
    <row r="8" ht="20" customHeight="1">
      <c r="B8" s="3" t="inlineStr">
        <is>
          <t>A RECEBER</t>
        </is>
      </c>
      <c r="C8" s="4" t="n"/>
      <c r="E8" s="3" t="inlineStr">
        <is>
          <t>A PAGAR</t>
        </is>
      </c>
      <c r="F8" s="4" t="n"/>
      <c r="H8" s="3" t="inlineStr">
        <is>
          <t>RESULTADO LÍQUIDO</t>
        </is>
      </c>
      <c r="I8" s="4" t="n"/>
    </row>
    <row r="9" ht="30" customHeight="1">
      <c r="B9" s="5">
        <f>'Contas a Pagar e Receber'!F5</f>
        <v>199712.9</v>
      </c>
      <c r="C9" s="4" t="n"/>
      <c r="E9" s="6">
        <f>'Contas a Pagar e Receber'!F6</f>
        <v>177687.16</v>
      </c>
      <c r="F9" s="4" t="n"/>
      <c r="H9" s="7">
        <f>DRE!C14</f>
        <v>61963.98</v>
      </c>
      <c r="I9" s="4" t="n"/>
    </row>
    <row r="10" ht="18" customHeight="1">
      <c r="B10" s="8" t="inlineStr">
        <is>
          <t>pendente ou atrasado</t>
        </is>
      </c>
      <c r="C10" s="4" t="n"/>
      <c r="E10" s="8" t="inlineStr">
        <is>
          <t>pendente ou atrasado</t>
        </is>
      </c>
      <c r="F10" s="4" t="n"/>
      <c r="H10" s="8" t="inlineStr">
        <is>
          <t>receita − despesas (DRE)</t>
        </is>
      </c>
      <c r="I10" s="4" t="n"/>
    </row>
    <row r="12" ht="22" customHeight="1">
      <c r="B12" s="9" t="inlineStr">
        <is>
          <t>Fluxo de caixa mensal</t>
        </is>
      </c>
      <c r="C12" s="10" t="n"/>
      <c r="D12" s="10" t="n"/>
      <c r="E12" s="10" t="n"/>
      <c r="F12" s="10" t="n"/>
      <c r="G12" s="10" t="n"/>
      <c r="H12" s="10" t="n"/>
      <c r="I12" s="10" t="n"/>
    </row>
    <row r="31" ht="22" customHeight="1">
      <c r="B31" s="9" t="inlineStr">
        <is>
          <t>Abas desta planilha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20" customHeight="1">
      <c r="B32" s="11" t="inlineStr">
        <is>
          <t>Fluxo Mensal</t>
        </is>
      </c>
      <c r="C32" s="12" t="n"/>
      <c r="D32" s="12" t="n"/>
      <c r="E32" s="13" t="inlineStr">
        <is>
          <t>entradas e saídas pagas mês a mês, saldo do mês e acumulado</t>
        </is>
      </c>
      <c r="F32" s="12" t="n"/>
      <c r="G32" s="12" t="n"/>
      <c r="H32" s="12" t="n"/>
      <c r="I32" s="12" t="n"/>
    </row>
    <row r="33" ht="20" customHeight="1">
      <c r="B33" s="11" t="inlineStr">
        <is>
          <t>Contas a Pagar e Receber</t>
        </is>
      </c>
      <c r="C33" s="12" t="n"/>
      <c r="D33" s="12" t="n"/>
      <c r="E33" s="13" t="inlineStr">
        <is>
          <t>o que está pendente ou atrasado, com a lista de cada lado</t>
        </is>
      </c>
      <c r="F33" s="12" t="n"/>
      <c r="G33" s="12" t="n"/>
      <c r="H33" s="12" t="n"/>
      <c r="I33" s="12" t="n"/>
    </row>
    <row r="34" ht="20" customHeight="1">
      <c r="B34" s="11" t="inlineStr">
        <is>
          <t>DRE</t>
        </is>
      </c>
      <c r="C34" s="12" t="n"/>
      <c r="D34" s="12" t="n"/>
      <c r="E34" s="13" t="inlineStr">
        <is>
          <t>receita, despesas por categoria e resultado líquido</t>
        </is>
      </c>
      <c r="F34" s="12" t="n"/>
      <c r="G34" s="12" t="n"/>
      <c r="H34" s="12" t="n"/>
      <c r="I34" s="12" t="n"/>
    </row>
    <row r="35" ht="20" customHeight="1">
      <c r="B35" s="11" t="inlineStr">
        <is>
          <t>Dados</t>
        </is>
      </c>
      <c r="C35" s="12" t="n"/>
      <c r="D35" s="12" t="n"/>
      <c r="E35" s="13" t="inlineStr">
        <is>
          <t>as transações tratadas — base de todas as fórmulas; edite e os totais recalculam</t>
        </is>
      </c>
      <c r="F35" s="12" t="n"/>
      <c r="G35" s="12" t="n"/>
      <c r="H35" s="12" t="n"/>
      <c r="I35" s="12" t="n"/>
    </row>
    <row r="37">
      <c r="B37" s="14" t="inlineStr">
        <is>
          <t>Dados simulados com sujeira proposital (categorias, datas, sinais e status) — o README do projeto mostra o tratamento e o relatório de qualidade de dados.</t>
        </is>
      </c>
    </row>
  </sheetData>
  <mergeCells count="26">
    <mergeCell ref="H10:I10"/>
    <mergeCell ref="E5:F5"/>
    <mergeCell ref="E33:I33"/>
    <mergeCell ref="H4:I4"/>
    <mergeCell ref="E8:F8"/>
    <mergeCell ref="H9:I9"/>
    <mergeCell ref="B34:D34"/>
    <mergeCell ref="E4:F4"/>
    <mergeCell ref="E35:I35"/>
    <mergeCell ref="H6:I6"/>
    <mergeCell ref="E10:F10"/>
    <mergeCell ref="E9:F9"/>
    <mergeCell ref="B8:C8"/>
    <mergeCell ref="B33:D33"/>
    <mergeCell ref="E6:F6"/>
    <mergeCell ref="E34:I34"/>
    <mergeCell ref="B32:D32"/>
    <mergeCell ref="B10:C10"/>
    <mergeCell ref="B35:D35"/>
    <mergeCell ref="B9:C9"/>
    <mergeCell ref="B6:C6"/>
    <mergeCell ref="B5:C5"/>
    <mergeCell ref="E32:I32"/>
    <mergeCell ref="H5:I5"/>
    <mergeCell ref="H8:I8"/>
    <mergeCell ref="B4:C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30" customWidth="1" min="3" max="3"/>
    <col width="20" customWidth="1" min="4" max="4"/>
    <col width="11" customWidth="1" min="5" max="5"/>
    <col width="15" customWidth="1" min="6" max="6"/>
    <col width="13" customWidth="1" min="7" max="7"/>
  </cols>
  <sheetData>
    <row r="1" ht="28" customHeight="1">
      <c r="B1" s="1" t="inlineStr">
        <is>
          <t>Transações</t>
        </is>
      </c>
    </row>
    <row r="2" ht="18" customHeight="1">
      <c r="B2" s="2" t="inlineStr">
        <is>
          <t>200 lançamentos já tratados — a base de todas as fórmulas desta planilha: mude um valor ou um status aqui e os totais das outras abas recalculam.</t>
        </is>
      </c>
    </row>
    <row r="3" ht="10" customHeight="1"/>
    <row r="4" ht="26" customHeight="1">
      <c r="B4" s="15" t="inlineStr">
        <is>
          <t>Data</t>
        </is>
      </c>
      <c r="C4" s="15" t="inlineStr">
        <is>
          <t>Descrição</t>
        </is>
      </c>
      <c r="D4" s="15" t="inlineStr">
        <is>
          <t>Categoria</t>
        </is>
      </c>
      <c r="E4" s="15" t="inlineStr">
        <is>
          <t>Tipo</t>
        </is>
      </c>
      <c r="F4" s="16" t="inlineStr">
        <is>
          <t>Valor</t>
        </is>
      </c>
      <c r="G4" s="17" t="inlineStr">
        <is>
          <t>Status</t>
        </is>
      </c>
    </row>
    <row r="5" ht="18" customHeight="1">
      <c r="B5" s="18" t="n">
        <v>46110</v>
      </c>
      <c r="C5" s="11" t="inlineStr">
        <is>
          <t>Saída - Fornecedor Z</t>
        </is>
      </c>
      <c r="D5" s="13" t="inlineStr">
        <is>
          <t>Imposto</t>
        </is>
      </c>
      <c r="E5" s="19" t="inlineStr">
        <is>
          <t>Saída</t>
        </is>
      </c>
      <c r="F5" s="20" t="n">
        <v>849.83</v>
      </c>
      <c r="G5" s="21" t="inlineStr">
        <is>
          <t>Pendente</t>
        </is>
      </c>
    </row>
    <row r="6" ht="18" customHeight="1">
      <c r="B6" s="18" t="n">
        <v>46111</v>
      </c>
      <c r="C6" s="11" t="inlineStr">
        <is>
          <t>Saída - Fornecedor Y</t>
        </is>
      </c>
      <c r="D6" s="13" t="inlineStr">
        <is>
          <t>Manutenção</t>
        </is>
      </c>
      <c r="E6" s="19" t="inlineStr">
        <is>
          <t>Saída</t>
        </is>
      </c>
      <c r="F6" s="20" t="n">
        <v>665.55</v>
      </c>
      <c r="G6" s="21" t="inlineStr">
        <is>
          <t>Pendente</t>
        </is>
      </c>
    </row>
    <row r="7" ht="18" customHeight="1">
      <c r="B7" s="18" t="n">
        <v>46112</v>
      </c>
      <c r="C7" s="11" t="inlineStr">
        <is>
          <t>Saída - Fornecedor Y</t>
        </is>
      </c>
      <c r="D7" s="13" t="inlineStr">
        <is>
          <t>Salário</t>
        </is>
      </c>
      <c r="E7" s="19" t="inlineStr">
        <is>
          <t>Saída</t>
        </is>
      </c>
      <c r="F7" s="20" t="n">
        <v>3351.12</v>
      </c>
      <c r="G7" s="21" t="inlineStr">
        <is>
          <t>Pendente</t>
        </is>
      </c>
    </row>
    <row r="8" ht="18" customHeight="1">
      <c r="B8" s="18" t="n">
        <v>46113</v>
      </c>
      <c r="C8" s="11" t="inlineStr">
        <is>
          <t>Entrada - Cliente B</t>
        </is>
      </c>
      <c r="D8" s="13" t="inlineStr">
        <is>
          <t>Venda de Serviço</t>
        </is>
      </c>
      <c r="E8" s="22" t="inlineStr">
        <is>
          <t>Entrada</t>
        </is>
      </c>
      <c r="F8" s="20" t="n">
        <v>796.61</v>
      </c>
      <c r="G8" s="21" t="inlineStr">
        <is>
          <t>Pago</t>
        </is>
      </c>
    </row>
    <row r="9" ht="18" customHeight="1">
      <c r="B9" s="18" t="n">
        <v>46115</v>
      </c>
      <c r="C9" s="11" t="inlineStr">
        <is>
          <t>Entrada - Cliente A</t>
        </is>
      </c>
      <c r="D9" s="13" t="inlineStr">
        <is>
          <t>Venda de Serviço</t>
        </is>
      </c>
      <c r="E9" s="22" t="inlineStr">
        <is>
          <t>Entrada</t>
        </is>
      </c>
      <c r="F9" s="20" t="n">
        <v>3602.18</v>
      </c>
      <c r="G9" s="21" t="inlineStr">
        <is>
          <t>Atrasado</t>
        </is>
      </c>
    </row>
    <row r="10" ht="18" customHeight="1">
      <c r="B10" s="18" t="n">
        <v>46115</v>
      </c>
      <c r="C10" s="11" t="inlineStr">
        <is>
          <t>Entrada - Cliente B</t>
        </is>
      </c>
      <c r="D10" s="13" t="inlineStr">
        <is>
          <t>Venda de Serviço</t>
        </is>
      </c>
      <c r="E10" s="22" t="inlineStr">
        <is>
          <t>Entrada</t>
        </is>
      </c>
      <c r="F10" s="20" t="n">
        <v>554.41</v>
      </c>
      <c r="G10" s="21" t="inlineStr">
        <is>
          <t>Atrasado</t>
        </is>
      </c>
    </row>
    <row r="11" ht="18" customHeight="1">
      <c r="B11" s="18" t="n">
        <v>46116</v>
      </c>
      <c r="C11" s="11" t="inlineStr">
        <is>
          <t>Entrada - Cliente C</t>
        </is>
      </c>
      <c r="D11" s="13" t="inlineStr">
        <is>
          <t>Venda de Serviço</t>
        </is>
      </c>
      <c r="E11" s="22" t="inlineStr">
        <is>
          <t>Entrada</t>
        </is>
      </c>
      <c r="F11" s="20" t="n">
        <v>3367.37</v>
      </c>
      <c r="G11" s="21" t="inlineStr">
        <is>
          <t>Atrasado</t>
        </is>
      </c>
    </row>
    <row r="12" ht="18" customHeight="1">
      <c r="B12" s="18" t="n">
        <v>46116</v>
      </c>
      <c r="C12" s="11" t="inlineStr">
        <is>
          <t>Entrada - Cliente A</t>
        </is>
      </c>
      <c r="D12" s="13" t="inlineStr">
        <is>
          <t>Venda de Serviço</t>
        </is>
      </c>
      <c r="E12" s="22" t="inlineStr">
        <is>
          <t>Entrada</t>
        </is>
      </c>
      <c r="F12" s="20" t="n">
        <v>3417.4</v>
      </c>
      <c r="G12" s="21" t="inlineStr">
        <is>
          <t>Atrasado</t>
        </is>
      </c>
    </row>
    <row r="13" ht="18" customHeight="1">
      <c r="B13" s="18" t="n">
        <v>46117</v>
      </c>
      <c r="C13" s="11" t="inlineStr">
        <is>
          <t>Entrada - Cliente C</t>
        </is>
      </c>
      <c r="D13" s="13" t="inlineStr">
        <is>
          <t>Venda de Serviço</t>
        </is>
      </c>
      <c r="E13" s="22" t="inlineStr">
        <is>
          <t>Entrada</t>
        </is>
      </c>
      <c r="F13" s="20" t="n">
        <v>1974.84</v>
      </c>
      <c r="G13" s="21" t="inlineStr">
        <is>
          <t>Pendente</t>
        </is>
      </c>
    </row>
    <row r="14" ht="18" customHeight="1">
      <c r="B14" s="18" t="n">
        <v>46117</v>
      </c>
      <c r="C14" s="11" t="inlineStr">
        <is>
          <t>Entrada - Cliente C</t>
        </is>
      </c>
      <c r="D14" s="13" t="inlineStr">
        <is>
          <t>Venda de Serviço</t>
        </is>
      </c>
      <c r="E14" s="22" t="inlineStr">
        <is>
          <t>Entrada</t>
        </is>
      </c>
      <c r="F14" s="20" t="n">
        <v>4647.99</v>
      </c>
      <c r="G14" s="21" t="inlineStr">
        <is>
          <t>Pendente</t>
        </is>
      </c>
    </row>
    <row r="15" ht="18" customHeight="1">
      <c r="B15" s="18" t="n">
        <v>46119</v>
      </c>
      <c r="C15" s="11" t="inlineStr">
        <is>
          <t>Entrada - Cliente B</t>
        </is>
      </c>
      <c r="D15" s="13" t="inlineStr">
        <is>
          <t>Venda de Serviço</t>
        </is>
      </c>
      <c r="E15" s="22" t="inlineStr">
        <is>
          <t>Entrada</t>
        </is>
      </c>
      <c r="F15" s="20" t="n">
        <v>3579.1</v>
      </c>
      <c r="G15" s="21" t="inlineStr">
        <is>
          <t>Atrasado</t>
        </is>
      </c>
    </row>
    <row r="16" ht="18" customHeight="1">
      <c r="B16" s="18" t="n">
        <v>46120</v>
      </c>
      <c r="C16" s="11" t="inlineStr">
        <is>
          <t>Entrada - Cliente A</t>
        </is>
      </c>
      <c r="D16" s="13" t="inlineStr">
        <is>
          <t>Venda de Serviço</t>
        </is>
      </c>
      <c r="E16" s="22" t="inlineStr">
        <is>
          <t>Entrada</t>
        </is>
      </c>
      <c r="F16" s="20" t="n">
        <v>1852.9</v>
      </c>
      <c r="G16" s="21" t="inlineStr">
        <is>
          <t>Pendente</t>
        </is>
      </c>
    </row>
    <row r="17" ht="18" customHeight="1">
      <c r="B17" s="18" t="n">
        <v>46121</v>
      </c>
      <c r="C17" s="11" t="inlineStr">
        <is>
          <t>Entrada - Cliente A</t>
        </is>
      </c>
      <c r="D17" s="13" t="inlineStr">
        <is>
          <t>Venda de Serviço</t>
        </is>
      </c>
      <c r="E17" s="22" t="inlineStr">
        <is>
          <t>Entrada</t>
        </is>
      </c>
      <c r="F17" s="20" t="n">
        <v>3537.63</v>
      </c>
      <c r="G17" s="21" t="inlineStr">
        <is>
          <t>Pago</t>
        </is>
      </c>
    </row>
    <row r="18" ht="18" customHeight="1">
      <c r="B18" s="18" t="n">
        <v>46121</v>
      </c>
      <c r="C18" s="11" t="inlineStr">
        <is>
          <t>Saída - Fornecedor Y</t>
        </is>
      </c>
      <c r="D18" s="13" t="inlineStr">
        <is>
          <t>Imposto</t>
        </is>
      </c>
      <c r="E18" s="19" t="inlineStr">
        <is>
          <t>Saída</t>
        </is>
      </c>
      <c r="F18" s="20" t="n">
        <v>3540.88</v>
      </c>
      <c r="G18" s="21" t="inlineStr">
        <is>
          <t>Atrasado</t>
        </is>
      </c>
    </row>
    <row r="19" ht="18" customHeight="1">
      <c r="B19" s="18" t="n">
        <v>46122</v>
      </c>
      <c r="C19" s="11" t="inlineStr">
        <is>
          <t>Entrada - Cliente B</t>
        </is>
      </c>
      <c r="D19" s="13" t="inlineStr">
        <is>
          <t>Venda de Serviço</t>
        </is>
      </c>
      <c r="E19" s="22" t="inlineStr">
        <is>
          <t>Entrada</t>
        </is>
      </c>
      <c r="F19" s="20" t="n">
        <v>3115.94</v>
      </c>
      <c r="G19" s="21" t="inlineStr">
        <is>
          <t>Atrasado</t>
        </is>
      </c>
    </row>
    <row r="20" ht="18" customHeight="1">
      <c r="B20" s="18" t="n">
        <v>46122</v>
      </c>
      <c r="C20" s="11" t="inlineStr">
        <is>
          <t>Saída - Fornecedor X</t>
        </is>
      </c>
      <c r="D20" s="13" t="inlineStr">
        <is>
          <t>Manutenção</t>
        </is>
      </c>
      <c r="E20" s="19" t="inlineStr">
        <is>
          <t>Saída</t>
        </is>
      </c>
      <c r="F20" s="20" t="n">
        <v>3978.99</v>
      </c>
      <c r="G20" s="21" t="inlineStr">
        <is>
          <t>Pago</t>
        </is>
      </c>
    </row>
    <row r="21" ht="18" customHeight="1">
      <c r="B21" s="18" t="n">
        <v>46123</v>
      </c>
      <c r="C21" s="11" t="inlineStr">
        <is>
          <t>Saída - Fornecedor Z</t>
        </is>
      </c>
      <c r="D21" s="13" t="inlineStr">
        <is>
          <t>Aluguel</t>
        </is>
      </c>
      <c r="E21" s="19" t="inlineStr">
        <is>
          <t>Saída</t>
        </is>
      </c>
      <c r="F21" s="20" t="n">
        <v>4325.99</v>
      </c>
      <c r="G21" s="21" t="inlineStr">
        <is>
          <t>Atrasado</t>
        </is>
      </c>
    </row>
    <row r="22" ht="18" customHeight="1">
      <c r="B22" s="18" t="n">
        <v>46123</v>
      </c>
      <c r="C22" s="11" t="inlineStr">
        <is>
          <t>Entrada - Cliente B</t>
        </is>
      </c>
      <c r="D22" s="13" t="inlineStr">
        <is>
          <t>Venda de Serviço</t>
        </is>
      </c>
      <c r="E22" s="22" t="inlineStr">
        <is>
          <t>Entrada</t>
        </is>
      </c>
      <c r="F22" s="20" t="n">
        <v>3626.1</v>
      </c>
      <c r="G22" s="21" t="inlineStr">
        <is>
          <t>Pago</t>
        </is>
      </c>
    </row>
    <row r="23" ht="18" customHeight="1">
      <c r="B23" s="18" t="n">
        <v>46123</v>
      </c>
      <c r="C23" s="11" t="inlineStr">
        <is>
          <t>Saída - Fornecedor X</t>
        </is>
      </c>
      <c r="D23" s="13" t="inlineStr">
        <is>
          <t>Fornecedor</t>
        </is>
      </c>
      <c r="E23" s="19" t="inlineStr">
        <is>
          <t>Saída</t>
        </is>
      </c>
      <c r="F23" s="20" t="n">
        <v>2497.17</v>
      </c>
      <c r="G23" s="21" t="inlineStr">
        <is>
          <t>Atrasado</t>
        </is>
      </c>
    </row>
    <row r="24" ht="18" customHeight="1">
      <c r="B24" s="18" t="n">
        <v>46124</v>
      </c>
      <c r="C24" s="11" t="inlineStr">
        <is>
          <t>Entrada - Cliente C</t>
        </is>
      </c>
      <c r="D24" s="13" t="inlineStr">
        <is>
          <t>Venda de Serviço</t>
        </is>
      </c>
      <c r="E24" s="22" t="inlineStr">
        <is>
          <t>Entrada</t>
        </is>
      </c>
      <c r="F24" s="20" t="n">
        <v>2828.16</v>
      </c>
      <c r="G24" s="21" t="inlineStr">
        <is>
          <t>Atrasado</t>
        </is>
      </c>
    </row>
    <row r="25" ht="18" customHeight="1">
      <c r="B25" s="18" t="n">
        <v>46125</v>
      </c>
      <c r="C25" s="11" t="inlineStr">
        <is>
          <t>Saída - Fornecedor Z</t>
        </is>
      </c>
      <c r="D25" s="13" t="inlineStr">
        <is>
          <t>Aluguel</t>
        </is>
      </c>
      <c r="E25" s="19" t="inlineStr">
        <is>
          <t>Saída</t>
        </is>
      </c>
      <c r="F25" s="20" t="n">
        <v>3324.53</v>
      </c>
      <c r="G25" s="21" t="inlineStr">
        <is>
          <t>Pendente</t>
        </is>
      </c>
    </row>
    <row r="26" ht="18" customHeight="1">
      <c r="B26" s="18" t="n">
        <v>46126</v>
      </c>
      <c r="C26" s="11" t="inlineStr">
        <is>
          <t>Saída - Fornecedor Y</t>
        </is>
      </c>
      <c r="D26" s="13" t="inlineStr">
        <is>
          <t>Salário</t>
        </is>
      </c>
      <c r="E26" s="19" t="inlineStr">
        <is>
          <t>Saída</t>
        </is>
      </c>
      <c r="F26" s="20" t="n">
        <v>4328.55</v>
      </c>
      <c r="G26" s="21" t="inlineStr">
        <is>
          <t>Atrasado</t>
        </is>
      </c>
    </row>
    <row r="27" ht="18" customHeight="1">
      <c r="B27" s="18" t="n">
        <v>46126</v>
      </c>
      <c r="C27" s="11" t="inlineStr">
        <is>
          <t>Saída - Fornecedor Y</t>
        </is>
      </c>
      <c r="D27" s="13" t="inlineStr">
        <is>
          <t>Imposto</t>
        </is>
      </c>
      <c r="E27" s="19" t="inlineStr">
        <is>
          <t>Saída</t>
        </is>
      </c>
      <c r="F27" s="20" t="n">
        <v>1102.5</v>
      </c>
      <c r="G27" s="21" t="inlineStr">
        <is>
          <t>Pendente</t>
        </is>
      </c>
    </row>
    <row r="28" ht="18" customHeight="1">
      <c r="B28" s="18" t="n">
        <v>46130</v>
      </c>
      <c r="C28" s="11" t="inlineStr">
        <is>
          <t>Entrada - Cliente A</t>
        </is>
      </c>
      <c r="D28" s="13" t="inlineStr">
        <is>
          <t>Venda de Serviço</t>
        </is>
      </c>
      <c r="E28" s="22" t="inlineStr">
        <is>
          <t>Entrada</t>
        </is>
      </c>
      <c r="F28" s="20" t="n">
        <v>2563.02</v>
      </c>
      <c r="G28" s="21" t="inlineStr">
        <is>
          <t>Pendente</t>
        </is>
      </c>
    </row>
    <row r="29" ht="18" customHeight="1">
      <c r="B29" s="18" t="n">
        <v>46131</v>
      </c>
      <c r="C29" s="11" t="inlineStr">
        <is>
          <t>Entrada - Cliente B</t>
        </is>
      </c>
      <c r="D29" s="13" t="inlineStr">
        <is>
          <t>Venda de Serviço</t>
        </is>
      </c>
      <c r="E29" s="22" t="inlineStr">
        <is>
          <t>Entrada</t>
        </is>
      </c>
      <c r="F29" s="20" t="n">
        <v>978.53</v>
      </c>
      <c r="G29" s="21" t="inlineStr">
        <is>
          <t>Pendente</t>
        </is>
      </c>
    </row>
    <row r="30" ht="18" customHeight="1">
      <c r="B30" s="18" t="n">
        <v>46131</v>
      </c>
      <c r="C30" s="11" t="inlineStr">
        <is>
          <t>Entrada - Cliente A</t>
        </is>
      </c>
      <c r="D30" s="13" t="inlineStr">
        <is>
          <t>Venda de Serviço</t>
        </is>
      </c>
      <c r="E30" s="22" t="inlineStr">
        <is>
          <t>Entrada</t>
        </is>
      </c>
      <c r="F30" s="20" t="n">
        <v>1036.84</v>
      </c>
      <c r="G30" s="21" t="inlineStr">
        <is>
          <t>Pago</t>
        </is>
      </c>
    </row>
    <row r="31" ht="18" customHeight="1">
      <c r="B31" s="18" t="n">
        <v>46131</v>
      </c>
      <c r="C31" s="11" t="inlineStr">
        <is>
          <t>Entrada - Cliente A</t>
        </is>
      </c>
      <c r="D31" s="13" t="inlineStr">
        <is>
          <t>Venda de Serviço</t>
        </is>
      </c>
      <c r="E31" s="22" t="inlineStr">
        <is>
          <t>Entrada</t>
        </is>
      </c>
      <c r="F31" s="20" t="n">
        <v>4210.5</v>
      </c>
      <c r="G31" s="21" t="inlineStr">
        <is>
          <t>Atrasado</t>
        </is>
      </c>
    </row>
    <row r="32" ht="18" customHeight="1">
      <c r="B32" s="18" t="n">
        <v>46132</v>
      </c>
      <c r="C32" s="11" t="inlineStr">
        <is>
          <t>Saída - Fornecedor Z</t>
        </is>
      </c>
      <c r="D32" s="13" t="inlineStr">
        <is>
          <t>Salário</t>
        </is>
      </c>
      <c r="E32" s="19" t="inlineStr">
        <is>
          <t>Saída</t>
        </is>
      </c>
      <c r="F32" s="20" t="n">
        <v>440.06</v>
      </c>
      <c r="G32" s="21" t="inlineStr">
        <is>
          <t>Pendente</t>
        </is>
      </c>
    </row>
    <row r="33" ht="18" customHeight="1">
      <c r="B33" s="18" t="n">
        <v>46134</v>
      </c>
      <c r="C33" s="11" t="inlineStr">
        <is>
          <t>Entrada - Cliente B</t>
        </is>
      </c>
      <c r="D33" s="13" t="inlineStr">
        <is>
          <t>Venda de Serviço</t>
        </is>
      </c>
      <c r="E33" s="22" t="inlineStr">
        <is>
          <t>Entrada</t>
        </is>
      </c>
      <c r="F33" s="20" t="n">
        <v>278.76</v>
      </c>
      <c r="G33" s="21" t="inlineStr">
        <is>
          <t>Pago</t>
        </is>
      </c>
    </row>
    <row r="34" ht="18" customHeight="1">
      <c r="B34" s="18" t="n">
        <v>46134</v>
      </c>
      <c r="C34" s="11" t="inlineStr">
        <is>
          <t>Entrada - Cliente C</t>
        </is>
      </c>
      <c r="D34" s="13" t="inlineStr">
        <is>
          <t>Venda de Serviço</t>
        </is>
      </c>
      <c r="E34" s="22" t="inlineStr">
        <is>
          <t>Entrada</t>
        </is>
      </c>
      <c r="F34" s="20" t="n">
        <v>3764.86</v>
      </c>
      <c r="G34" s="21" t="inlineStr">
        <is>
          <t>Atrasado</t>
        </is>
      </c>
    </row>
    <row r="35" ht="18" customHeight="1">
      <c r="B35" s="18" t="n">
        <v>46135</v>
      </c>
      <c r="C35" s="11" t="inlineStr">
        <is>
          <t>Entrada - Cliente B</t>
        </is>
      </c>
      <c r="D35" s="13" t="inlineStr">
        <is>
          <t>Venda de Serviço</t>
        </is>
      </c>
      <c r="E35" s="22" t="inlineStr">
        <is>
          <t>Entrada</t>
        </is>
      </c>
      <c r="F35" s="20" t="n">
        <v>2812.46</v>
      </c>
      <c r="G35" s="21" t="inlineStr">
        <is>
          <t>Atrasado</t>
        </is>
      </c>
    </row>
    <row r="36" ht="18" customHeight="1">
      <c r="B36" s="18" t="n">
        <v>46135</v>
      </c>
      <c r="C36" s="11" t="inlineStr">
        <is>
          <t>Saída - Fornecedor Y</t>
        </is>
      </c>
      <c r="D36" s="13" t="inlineStr">
        <is>
          <t>Salário</t>
        </is>
      </c>
      <c r="E36" s="19" t="inlineStr">
        <is>
          <t>Saída</t>
        </is>
      </c>
      <c r="F36" s="20" t="n">
        <v>1761.15</v>
      </c>
      <c r="G36" s="21" t="inlineStr">
        <is>
          <t>Atrasado</t>
        </is>
      </c>
    </row>
    <row r="37" ht="18" customHeight="1">
      <c r="B37" s="18" t="n">
        <v>46138</v>
      </c>
      <c r="C37" s="11" t="inlineStr">
        <is>
          <t>Entrada - Cliente A</t>
        </is>
      </c>
      <c r="D37" s="13" t="inlineStr">
        <is>
          <t>Venda de Serviço</t>
        </is>
      </c>
      <c r="E37" s="22" t="inlineStr">
        <is>
          <t>Entrada</t>
        </is>
      </c>
      <c r="F37" s="20" t="n">
        <v>4264.15</v>
      </c>
      <c r="G37" s="21" t="inlineStr">
        <is>
          <t>Pago</t>
        </is>
      </c>
    </row>
    <row r="38" ht="18" customHeight="1">
      <c r="B38" s="18" t="n">
        <v>46138</v>
      </c>
      <c r="C38" s="11" t="inlineStr">
        <is>
          <t>Entrada - Cliente B</t>
        </is>
      </c>
      <c r="D38" s="13" t="inlineStr">
        <is>
          <t>Venda de Serviço</t>
        </is>
      </c>
      <c r="E38" s="22" t="inlineStr">
        <is>
          <t>Entrada</t>
        </is>
      </c>
      <c r="F38" s="20" t="n">
        <v>3970.79</v>
      </c>
      <c r="G38" s="21" t="inlineStr">
        <is>
          <t>Pago</t>
        </is>
      </c>
    </row>
    <row r="39" ht="18" customHeight="1">
      <c r="B39" s="18" t="n">
        <v>46139</v>
      </c>
      <c r="C39" s="11" t="inlineStr">
        <is>
          <t>Saída - Fornecedor X</t>
        </is>
      </c>
      <c r="D39" s="13" t="inlineStr">
        <is>
          <t>Fornecedor</t>
        </is>
      </c>
      <c r="E39" s="19" t="inlineStr">
        <is>
          <t>Saída</t>
        </is>
      </c>
      <c r="F39" s="20" t="n">
        <v>4710.28</v>
      </c>
      <c r="G39" s="21" t="inlineStr">
        <is>
          <t>Atrasado</t>
        </is>
      </c>
    </row>
    <row r="40" ht="18" customHeight="1">
      <c r="B40" s="18" t="n">
        <v>46140</v>
      </c>
      <c r="C40" s="11" t="inlineStr">
        <is>
          <t>Entrada - Cliente C</t>
        </is>
      </c>
      <c r="D40" s="13" t="inlineStr">
        <is>
          <t>Venda de Serviço</t>
        </is>
      </c>
      <c r="E40" s="22" t="inlineStr">
        <is>
          <t>Entrada</t>
        </is>
      </c>
      <c r="F40" s="20" t="n">
        <v>4623.36</v>
      </c>
      <c r="G40" s="21" t="inlineStr">
        <is>
          <t>Atrasado</t>
        </is>
      </c>
    </row>
    <row r="41" ht="18" customHeight="1">
      <c r="B41" s="18" t="n">
        <v>46140</v>
      </c>
      <c r="C41" s="11" t="inlineStr">
        <is>
          <t>Entrada - Cliente A</t>
        </is>
      </c>
      <c r="D41" s="13" t="inlineStr">
        <is>
          <t>Venda de Serviço</t>
        </is>
      </c>
      <c r="E41" s="22" t="inlineStr">
        <is>
          <t>Entrada</t>
        </is>
      </c>
      <c r="F41" s="20" t="n">
        <v>366.93</v>
      </c>
      <c r="G41" s="21" t="inlineStr">
        <is>
          <t>Atrasado</t>
        </is>
      </c>
    </row>
    <row r="42" ht="18" customHeight="1">
      <c r="B42" s="18" t="n">
        <v>46142</v>
      </c>
      <c r="C42" s="11" t="inlineStr">
        <is>
          <t>Saída - Fornecedor Z</t>
        </is>
      </c>
      <c r="D42" s="13" t="inlineStr">
        <is>
          <t>Salário</t>
        </is>
      </c>
      <c r="E42" s="19" t="inlineStr">
        <is>
          <t>Saída</t>
        </is>
      </c>
      <c r="F42" s="20" t="n">
        <v>3474.35</v>
      </c>
      <c r="G42" s="21" t="inlineStr">
        <is>
          <t>Pendente</t>
        </is>
      </c>
    </row>
    <row r="43" ht="18" customHeight="1">
      <c r="B43" s="18" t="n">
        <v>46143</v>
      </c>
      <c r="C43" s="11" t="inlineStr">
        <is>
          <t>Saída - Fornecedor Z</t>
        </is>
      </c>
      <c r="D43" s="13" t="inlineStr">
        <is>
          <t>Fornecedor</t>
        </is>
      </c>
      <c r="E43" s="19" t="inlineStr">
        <is>
          <t>Saída</t>
        </is>
      </c>
      <c r="F43" s="20" t="n">
        <v>178.03</v>
      </c>
      <c r="G43" s="21" t="inlineStr">
        <is>
          <t>Atrasado</t>
        </is>
      </c>
    </row>
    <row r="44" ht="18" customHeight="1">
      <c r="B44" s="18" t="n">
        <v>46143</v>
      </c>
      <c r="C44" s="11" t="inlineStr">
        <is>
          <t>Entrada - Cliente C</t>
        </is>
      </c>
      <c r="D44" s="13" t="inlineStr">
        <is>
          <t>Venda de Serviço</t>
        </is>
      </c>
      <c r="E44" s="22" t="inlineStr">
        <is>
          <t>Entrada</t>
        </is>
      </c>
      <c r="F44" s="20" t="n">
        <v>3630.6</v>
      </c>
      <c r="G44" s="21" t="inlineStr">
        <is>
          <t>Pendente</t>
        </is>
      </c>
    </row>
    <row r="45" ht="18" customHeight="1">
      <c r="B45" s="18" t="n">
        <v>46144</v>
      </c>
      <c r="C45" s="11" t="inlineStr">
        <is>
          <t>Entrada - Cliente A</t>
        </is>
      </c>
      <c r="D45" s="13" t="inlineStr">
        <is>
          <t>Venda de Serviço</t>
        </is>
      </c>
      <c r="E45" s="22" t="inlineStr">
        <is>
          <t>Entrada</t>
        </is>
      </c>
      <c r="F45" s="20" t="n">
        <v>4904.83</v>
      </c>
      <c r="G45" s="21" t="inlineStr">
        <is>
          <t>Pendente</t>
        </is>
      </c>
    </row>
    <row r="46" ht="18" customHeight="1">
      <c r="B46" s="18" t="n">
        <v>46145</v>
      </c>
      <c r="C46" s="11" t="inlineStr">
        <is>
          <t>Entrada - Cliente C</t>
        </is>
      </c>
      <c r="D46" s="13" t="inlineStr">
        <is>
          <t>Venda de Serviço</t>
        </is>
      </c>
      <c r="E46" s="22" t="inlineStr">
        <is>
          <t>Entrada</t>
        </is>
      </c>
      <c r="F46" s="20" t="n">
        <v>3973.51</v>
      </c>
      <c r="G46" s="21" t="inlineStr">
        <is>
          <t>Pendente</t>
        </is>
      </c>
    </row>
    <row r="47" ht="18" customHeight="1">
      <c r="B47" s="18" t="n">
        <v>46145</v>
      </c>
      <c r="C47" s="11" t="inlineStr">
        <is>
          <t>Saída - Fornecedor Y</t>
        </is>
      </c>
      <c r="D47" s="13" t="inlineStr">
        <is>
          <t>Imposto</t>
        </is>
      </c>
      <c r="E47" s="19" t="inlineStr">
        <is>
          <t>Saída</t>
        </is>
      </c>
      <c r="F47" s="20" t="n">
        <v>4307.82</v>
      </c>
      <c r="G47" s="21" t="inlineStr">
        <is>
          <t>Atrasado</t>
        </is>
      </c>
    </row>
    <row r="48" ht="18" customHeight="1">
      <c r="B48" s="18" t="n">
        <v>46145</v>
      </c>
      <c r="C48" s="11" t="inlineStr">
        <is>
          <t>Saída - Fornecedor X</t>
        </is>
      </c>
      <c r="D48" s="13" t="inlineStr">
        <is>
          <t>Aluguel</t>
        </is>
      </c>
      <c r="E48" s="19" t="inlineStr">
        <is>
          <t>Saída</t>
        </is>
      </c>
      <c r="F48" s="20" t="n">
        <v>2035.77</v>
      </c>
      <c r="G48" s="21" t="inlineStr">
        <is>
          <t>Atrasado</t>
        </is>
      </c>
    </row>
    <row r="49" ht="18" customHeight="1">
      <c r="B49" s="18" t="n">
        <v>46146</v>
      </c>
      <c r="C49" s="11" t="inlineStr">
        <is>
          <t>Entrada - Cliente C</t>
        </is>
      </c>
      <c r="D49" s="13" t="inlineStr">
        <is>
          <t>Venda de Serviço</t>
        </is>
      </c>
      <c r="E49" s="22" t="inlineStr">
        <is>
          <t>Entrada</t>
        </is>
      </c>
      <c r="F49" s="20" t="n">
        <v>4539.3</v>
      </c>
      <c r="G49" s="21" t="inlineStr">
        <is>
          <t>Atrasado</t>
        </is>
      </c>
    </row>
    <row r="50" ht="18" customHeight="1">
      <c r="B50" s="18" t="n">
        <v>46147</v>
      </c>
      <c r="C50" s="11" t="inlineStr">
        <is>
          <t>Entrada - Cliente A</t>
        </is>
      </c>
      <c r="D50" s="13" t="inlineStr">
        <is>
          <t>Venda de Serviço</t>
        </is>
      </c>
      <c r="E50" s="22" t="inlineStr">
        <is>
          <t>Entrada</t>
        </is>
      </c>
      <c r="F50" s="20" t="n">
        <v>1361.16</v>
      </c>
      <c r="G50" s="21" t="inlineStr">
        <is>
          <t>Atrasado</t>
        </is>
      </c>
    </row>
    <row r="51" ht="18" customHeight="1">
      <c r="B51" s="18" t="n">
        <v>46149</v>
      </c>
      <c r="C51" s="11" t="inlineStr">
        <is>
          <t>Entrada - Cliente B</t>
        </is>
      </c>
      <c r="D51" s="13" t="inlineStr">
        <is>
          <t>Venda de Serviço</t>
        </is>
      </c>
      <c r="E51" s="22" t="inlineStr">
        <is>
          <t>Entrada</t>
        </is>
      </c>
      <c r="F51" s="20" t="n">
        <v>3563.42</v>
      </c>
      <c r="G51" s="21" t="inlineStr">
        <is>
          <t>Pago</t>
        </is>
      </c>
    </row>
    <row r="52" ht="18" customHeight="1">
      <c r="B52" s="18" t="n">
        <v>46149</v>
      </c>
      <c r="C52" s="11" t="inlineStr">
        <is>
          <t>Entrada - Cliente C</t>
        </is>
      </c>
      <c r="D52" s="13" t="inlineStr">
        <is>
          <t>Venda de Serviço</t>
        </is>
      </c>
      <c r="E52" s="22" t="inlineStr">
        <is>
          <t>Entrada</t>
        </is>
      </c>
      <c r="F52" s="20" t="n">
        <v>4181.25</v>
      </c>
      <c r="G52" s="21" t="inlineStr">
        <is>
          <t>Pago</t>
        </is>
      </c>
    </row>
    <row r="53" ht="18" customHeight="1">
      <c r="B53" s="18" t="n">
        <v>46150</v>
      </c>
      <c r="C53" s="11" t="inlineStr">
        <is>
          <t>Entrada - Cliente B</t>
        </is>
      </c>
      <c r="D53" s="13" t="inlineStr">
        <is>
          <t>Venda de Serviço</t>
        </is>
      </c>
      <c r="E53" s="22" t="inlineStr">
        <is>
          <t>Entrada</t>
        </is>
      </c>
      <c r="F53" s="20" t="n">
        <v>685.54</v>
      </c>
      <c r="G53" s="21" t="inlineStr">
        <is>
          <t>Pago</t>
        </is>
      </c>
    </row>
    <row r="54" ht="18" customHeight="1">
      <c r="B54" s="18" t="n">
        <v>46150</v>
      </c>
      <c r="C54" s="11" t="inlineStr">
        <is>
          <t>Saída - Fornecedor Y</t>
        </is>
      </c>
      <c r="D54" s="13" t="inlineStr">
        <is>
          <t>Salário</t>
        </is>
      </c>
      <c r="E54" s="19" t="inlineStr">
        <is>
          <t>Saída</t>
        </is>
      </c>
      <c r="F54" s="20" t="n">
        <v>2789.69</v>
      </c>
      <c r="G54" s="21" t="inlineStr">
        <is>
          <t>Pendente</t>
        </is>
      </c>
    </row>
    <row r="55" ht="18" customHeight="1">
      <c r="B55" s="18" t="n">
        <v>46150</v>
      </c>
      <c r="C55" s="11" t="inlineStr">
        <is>
          <t>Saída - Fornecedor Y</t>
        </is>
      </c>
      <c r="D55" s="13" t="inlineStr">
        <is>
          <t>Fornecedor</t>
        </is>
      </c>
      <c r="E55" s="19" t="inlineStr">
        <is>
          <t>Saída</t>
        </is>
      </c>
      <c r="F55" s="20" t="n">
        <v>3811.95</v>
      </c>
      <c r="G55" s="21" t="inlineStr">
        <is>
          <t>Pago</t>
        </is>
      </c>
    </row>
    <row r="56" ht="18" customHeight="1">
      <c r="B56" s="18" t="n">
        <v>46151</v>
      </c>
      <c r="C56" s="11" t="inlineStr">
        <is>
          <t>Entrada - Cliente C</t>
        </is>
      </c>
      <c r="D56" s="13" t="inlineStr">
        <is>
          <t>Venda de Serviço</t>
        </is>
      </c>
      <c r="E56" s="22" t="inlineStr">
        <is>
          <t>Entrada</t>
        </is>
      </c>
      <c r="F56" s="20" t="n">
        <v>3695.53</v>
      </c>
      <c r="G56" s="21" t="inlineStr">
        <is>
          <t>Não informado</t>
        </is>
      </c>
    </row>
    <row r="57" ht="18" customHeight="1">
      <c r="B57" s="18" t="n">
        <v>46152</v>
      </c>
      <c r="C57" s="11" t="inlineStr">
        <is>
          <t>Entrada - Cliente C</t>
        </is>
      </c>
      <c r="D57" s="13" t="inlineStr">
        <is>
          <t>Venda de Serviço</t>
        </is>
      </c>
      <c r="E57" s="22" t="inlineStr">
        <is>
          <t>Entrada</t>
        </is>
      </c>
      <c r="F57" s="20" t="n">
        <v>2378.02</v>
      </c>
      <c r="G57" s="21" t="inlineStr">
        <is>
          <t>Pago</t>
        </is>
      </c>
    </row>
    <row r="58" ht="18" customHeight="1">
      <c r="B58" s="18" t="n">
        <v>46152</v>
      </c>
      <c r="C58" s="11" t="inlineStr">
        <is>
          <t>Saída - Fornecedor Y</t>
        </is>
      </c>
      <c r="D58" s="13" t="inlineStr">
        <is>
          <t>Salário</t>
        </is>
      </c>
      <c r="E58" s="19" t="inlineStr">
        <is>
          <t>Saída</t>
        </is>
      </c>
      <c r="F58" s="20" t="n">
        <v>1210.74</v>
      </c>
      <c r="G58" s="21" t="inlineStr">
        <is>
          <t>Pago</t>
        </is>
      </c>
    </row>
    <row r="59" ht="18" customHeight="1">
      <c r="B59" s="18" t="n">
        <v>46152</v>
      </c>
      <c r="C59" s="11" t="inlineStr">
        <is>
          <t>Entrada - Cliente A</t>
        </is>
      </c>
      <c r="D59" s="13" t="inlineStr">
        <is>
          <t>Venda de Serviço</t>
        </is>
      </c>
      <c r="E59" s="22" t="inlineStr">
        <is>
          <t>Entrada</t>
        </is>
      </c>
      <c r="F59" s="20" t="n">
        <v>806.55</v>
      </c>
      <c r="G59" s="21" t="inlineStr">
        <is>
          <t>Atrasado</t>
        </is>
      </c>
    </row>
    <row r="60" ht="18" customHeight="1">
      <c r="B60" s="18" t="n">
        <v>46153</v>
      </c>
      <c r="C60" s="11" t="inlineStr">
        <is>
          <t>Saída - Fornecedor Y</t>
        </is>
      </c>
      <c r="D60" s="13" t="inlineStr">
        <is>
          <t>Manutenção</t>
        </is>
      </c>
      <c r="E60" s="19" t="inlineStr">
        <is>
          <t>Saída</t>
        </is>
      </c>
      <c r="F60" s="20" t="n">
        <v>4045.28</v>
      </c>
      <c r="G60" s="21" t="inlineStr">
        <is>
          <t>Pago</t>
        </is>
      </c>
    </row>
    <row r="61" ht="18" customHeight="1">
      <c r="B61" s="18" t="n">
        <v>46154</v>
      </c>
      <c r="C61" s="11" t="inlineStr">
        <is>
          <t>Entrada - Cliente A</t>
        </is>
      </c>
      <c r="D61" s="13" t="inlineStr">
        <is>
          <t>Venda de Serviço</t>
        </is>
      </c>
      <c r="E61" s="22" t="inlineStr">
        <is>
          <t>Entrada</t>
        </is>
      </c>
      <c r="F61" s="20" t="n">
        <v>3065.2</v>
      </c>
      <c r="G61" s="21" t="inlineStr">
        <is>
          <t>Atrasado</t>
        </is>
      </c>
    </row>
    <row r="62" ht="18" customHeight="1">
      <c r="B62" s="18" t="n">
        <v>46154</v>
      </c>
      <c r="C62" s="11" t="inlineStr">
        <is>
          <t>Saída - Fornecedor Z</t>
        </is>
      </c>
      <c r="D62" s="13" t="inlineStr">
        <is>
          <t>Salário</t>
        </is>
      </c>
      <c r="E62" s="19" t="inlineStr">
        <is>
          <t>Saída</t>
        </is>
      </c>
      <c r="F62" s="20" t="n">
        <v>3266.69</v>
      </c>
      <c r="G62" s="21" t="inlineStr">
        <is>
          <t>Pendente</t>
        </is>
      </c>
    </row>
    <row r="63" ht="18" customHeight="1">
      <c r="B63" s="18" t="n">
        <v>46154</v>
      </c>
      <c r="C63" s="11" t="inlineStr">
        <is>
          <t>Entrada - Cliente C</t>
        </is>
      </c>
      <c r="D63" s="13" t="inlineStr">
        <is>
          <t>Venda de Serviço</t>
        </is>
      </c>
      <c r="E63" s="22" t="inlineStr">
        <is>
          <t>Entrada</t>
        </is>
      </c>
      <c r="F63" s="20" t="n">
        <v>1546.22</v>
      </c>
      <c r="G63" s="21" t="inlineStr">
        <is>
          <t>Pago</t>
        </is>
      </c>
    </row>
    <row r="64" ht="18" customHeight="1">
      <c r="B64" s="18" t="n">
        <v>46156</v>
      </c>
      <c r="C64" s="11" t="inlineStr">
        <is>
          <t>Saída - Fornecedor X</t>
        </is>
      </c>
      <c r="D64" s="13" t="inlineStr">
        <is>
          <t>Imposto</t>
        </is>
      </c>
      <c r="E64" s="19" t="inlineStr">
        <is>
          <t>Saída</t>
        </is>
      </c>
      <c r="F64" s="20" t="n">
        <v>4355.02</v>
      </c>
      <c r="G64" s="21" t="inlineStr">
        <is>
          <t>Pendente</t>
        </is>
      </c>
    </row>
    <row r="65" ht="18" customHeight="1">
      <c r="B65" s="18" t="n">
        <v>46157</v>
      </c>
      <c r="C65" s="11" t="inlineStr">
        <is>
          <t>Entrada - Cliente A</t>
        </is>
      </c>
      <c r="D65" s="13" t="inlineStr">
        <is>
          <t>Venda de Serviço</t>
        </is>
      </c>
      <c r="E65" s="22" t="inlineStr">
        <is>
          <t>Entrada</t>
        </is>
      </c>
      <c r="F65" s="20" t="n">
        <v>3558.49</v>
      </c>
      <c r="G65" s="21" t="inlineStr">
        <is>
          <t>Atrasado</t>
        </is>
      </c>
    </row>
    <row r="66" ht="18" customHeight="1">
      <c r="B66" s="18" t="n">
        <v>46158</v>
      </c>
      <c r="C66" s="11" t="inlineStr">
        <is>
          <t>Entrada - Cliente C</t>
        </is>
      </c>
      <c r="D66" s="13" t="inlineStr">
        <is>
          <t>Venda de Serviço</t>
        </is>
      </c>
      <c r="E66" s="22" t="inlineStr">
        <is>
          <t>Entrada</t>
        </is>
      </c>
      <c r="F66" s="20" t="n">
        <v>4030.34</v>
      </c>
      <c r="G66" s="21" t="inlineStr">
        <is>
          <t>Pendente</t>
        </is>
      </c>
    </row>
    <row r="67" ht="18" customHeight="1">
      <c r="B67" s="18" t="n">
        <v>46160</v>
      </c>
      <c r="C67" s="11" t="inlineStr">
        <is>
          <t>Entrada - Cliente C</t>
        </is>
      </c>
      <c r="D67" s="13" t="inlineStr">
        <is>
          <t>Venda de Serviço</t>
        </is>
      </c>
      <c r="E67" s="22" t="inlineStr">
        <is>
          <t>Entrada</t>
        </is>
      </c>
      <c r="F67" s="20" t="n">
        <v>1948.75</v>
      </c>
      <c r="G67" s="21" t="inlineStr">
        <is>
          <t>Atrasado</t>
        </is>
      </c>
    </row>
    <row r="68" ht="18" customHeight="1">
      <c r="B68" s="18" t="n">
        <v>46160</v>
      </c>
      <c r="C68" s="11" t="inlineStr">
        <is>
          <t>Entrada - Cliente A</t>
        </is>
      </c>
      <c r="D68" s="13" t="inlineStr">
        <is>
          <t>Venda de Serviço</t>
        </is>
      </c>
      <c r="E68" s="22" t="inlineStr">
        <is>
          <t>Entrada</t>
        </is>
      </c>
      <c r="F68" s="20" t="n">
        <v>4986.76</v>
      </c>
      <c r="G68" s="21" t="inlineStr">
        <is>
          <t>Pendente</t>
        </is>
      </c>
    </row>
    <row r="69" ht="18" customHeight="1">
      <c r="B69" s="18" t="n">
        <v>46161</v>
      </c>
      <c r="C69" s="11" t="inlineStr">
        <is>
          <t>Entrada - Cliente A</t>
        </is>
      </c>
      <c r="D69" s="13" t="inlineStr">
        <is>
          <t>Venda de Serviço</t>
        </is>
      </c>
      <c r="E69" s="22" t="inlineStr">
        <is>
          <t>Entrada</t>
        </is>
      </c>
      <c r="F69" s="20" t="n">
        <v>412.64</v>
      </c>
      <c r="G69" s="21" t="inlineStr">
        <is>
          <t>Pendente</t>
        </is>
      </c>
    </row>
    <row r="70" ht="18" customHeight="1">
      <c r="B70" s="18" t="n">
        <v>46167</v>
      </c>
      <c r="C70" s="11" t="inlineStr">
        <is>
          <t>Entrada - Cliente B</t>
        </is>
      </c>
      <c r="D70" s="13" t="inlineStr">
        <is>
          <t>Venda de Serviço</t>
        </is>
      </c>
      <c r="E70" s="22" t="inlineStr">
        <is>
          <t>Entrada</t>
        </is>
      </c>
      <c r="F70" s="20" t="n">
        <v>873.24</v>
      </c>
      <c r="G70" s="21" t="inlineStr">
        <is>
          <t>Pago</t>
        </is>
      </c>
    </row>
    <row r="71" ht="18" customHeight="1">
      <c r="B71" s="18" t="n">
        <v>46167</v>
      </c>
      <c r="C71" s="11" t="inlineStr">
        <is>
          <t>Entrada - Cliente C</t>
        </is>
      </c>
      <c r="D71" s="13" t="inlineStr">
        <is>
          <t>Venda de Serviço</t>
        </is>
      </c>
      <c r="E71" s="22" t="inlineStr">
        <is>
          <t>Entrada</t>
        </is>
      </c>
      <c r="F71" s="20" t="n">
        <v>998.13</v>
      </c>
      <c r="G71" s="21" t="inlineStr">
        <is>
          <t>Pendente</t>
        </is>
      </c>
    </row>
    <row r="72" ht="18" customHeight="1">
      <c r="B72" s="18" t="n">
        <v>46167</v>
      </c>
      <c r="C72" s="11" t="inlineStr">
        <is>
          <t>Saída - Fornecedor Z</t>
        </is>
      </c>
      <c r="D72" s="13" t="inlineStr">
        <is>
          <t>Imposto</t>
        </is>
      </c>
      <c r="E72" s="19" t="inlineStr">
        <is>
          <t>Saída</t>
        </is>
      </c>
      <c r="F72" s="20" t="n">
        <v>4333.04</v>
      </c>
      <c r="G72" s="21" t="inlineStr">
        <is>
          <t>Pendente</t>
        </is>
      </c>
    </row>
    <row r="73" ht="18" customHeight="1">
      <c r="B73" s="18" t="n">
        <v>46169</v>
      </c>
      <c r="C73" s="11" t="inlineStr">
        <is>
          <t>Saída - Fornecedor Z</t>
        </is>
      </c>
      <c r="D73" s="13" t="inlineStr">
        <is>
          <t>Fornecedor</t>
        </is>
      </c>
      <c r="E73" s="19" t="inlineStr">
        <is>
          <t>Saída</t>
        </is>
      </c>
      <c r="F73" s="20" t="n">
        <v>2468.46</v>
      </c>
      <c r="G73" s="21" t="inlineStr">
        <is>
          <t>Atrasado</t>
        </is>
      </c>
    </row>
    <row r="74" ht="18" customHeight="1">
      <c r="B74" s="18" t="n">
        <v>46170</v>
      </c>
      <c r="C74" s="11" t="inlineStr">
        <is>
          <t>Entrada - Cliente A</t>
        </is>
      </c>
      <c r="D74" s="13" t="inlineStr">
        <is>
          <t>Venda de Serviço</t>
        </is>
      </c>
      <c r="E74" s="22" t="inlineStr">
        <is>
          <t>Entrada</t>
        </is>
      </c>
      <c r="F74" s="20" t="n">
        <v>3827.39</v>
      </c>
      <c r="G74" s="21" t="inlineStr">
        <is>
          <t>Atrasado</t>
        </is>
      </c>
    </row>
    <row r="75" ht="18" customHeight="1">
      <c r="B75" s="18" t="n">
        <v>46172</v>
      </c>
      <c r="C75" s="11" t="inlineStr">
        <is>
          <t>Entrada - Cliente C</t>
        </is>
      </c>
      <c r="D75" s="13" t="inlineStr">
        <is>
          <t>Venda de Serviço</t>
        </is>
      </c>
      <c r="E75" s="22" t="inlineStr">
        <is>
          <t>Entrada</t>
        </is>
      </c>
      <c r="F75" s="20" t="n">
        <v>3305.42</v>
      </c>
      <c r="G75" s="21" t="inlineStr">
        <is>
          <t>Não informado</t>
        </is>
      </c>
    </row>
    <row r="76" ht="18" customHeight="1">
      <c r="B76" s="18" t="n">
        <v>46173</v>
      </c>
      <c r="C76" s="11" t="inlineStr">
        <is>
          <t>Saída - Fornecedor X</t>
        </is>
      </c>
      <c r="D76" s="13" t="inlineStr">
        <is>
          <t>Aluguel</t>
        </is>
      </c>
      <c r="E76" s="19" t="inlineStr">
        <is>
          <t>Saída</t>
        </is>
      </c>
      <c r="F76" s="20" t="n">
        <v>4648.64</v>
      </c>
      <c r="G76" s="21" t="inlineStr">
        <is>
          <t>Atrasado</t>
        </is>
      </c>
    </row>
    <row r="77" ht="18" customHeight="1">
      <c r="B77" s="18" t="n">
        <v>46174</v>
      </c>
      <c r="C77" s="11" t="inlineStr">
        <is>
          <t>Saída - Fornecedor Y</t>
        </is>
      </c>
      <c r="D77" s="13" t="inlineStr">
        <is>
          <t>Marketing</t>
        </is>
      </c>
      <c r="E77" s="19" t="inlineStr">
        <is>
          <t>Saída</t>
        </is>
      </c>
      <c r="F77" s="20" t="n">
        <v>2781.99</v>
      </c>
      <c r="G77" s="21" t="inlineStr">
        <is>
          <t>Pendente</t>
        </is>
      </c>
    </row>
    <row r="78" ht="18" customHeight="1">
      <c r="B78" s="18" t="n">
        <v>46174</v>
      </c>
      <c r="C78" s="11" t="inlineStr">
        <is>
          <t>Entrada - Cliente A</t>
        </is>
      </c>
      <c r="D78" s="13" t="inlineStr">
        <is>
          <t>Venda de Serviço</t>
        </is>
      </c>
      <c r="E78" s="22" t="inlineStr">
        <is>
          <t>Entrada</t>
        </is>
      </c>
      <c r="F78" s="20" t="n">
        <v>2809.16</v>
      </c>
      <c r="G78" s="21" t="inlineStr">
        <is>
          <t>Pago</t>
        </is>
      </c>
    </row>
    <row r="79" ht="18" customHeight="1">
      <c r="B79" s="18" t="n">
        <v>46175</v>
      </c>
      <c r="C79" s="11" t="inlineStr">
        <is>
          <t>Entrada - Cliente B</t>
        </is>
      </c>
      <c r="D79" s="13" t="inlineStr">
        <is>
          <t>Venda de Serviço</t>
        </is>
      </c>
      <c r="E79" s="22" t="inlineStr">
        <is>
          <t>Entrada</t>
        </is>
      </c>
      <c r="F79" s="20" t="n">
        <v>3889.68</v>
      </c>
      <c r="G79" s="21" t="inlineStr">
        <is>
          <t>Pendente</t>
        </is>
      </c>
    </row>
    <row r="80" ht="18" customHeight="1">
      <c r="B80" s="18" t="n">
        <v>46176</v>
      </c>
      <c r="C80" s="11" t="inlineStr">
        <is>
          <t>Entrada - Cliente C</t>
        </is>
      </c>
      <c r="D80" s="13" t="inlineStr">
        <is>
          <t>Venda de Serviço</t>
        </is>
      </c>
      <c r="E80" s="22" t="inlineStr">
        <is>
          <t>Entrada</t>
        </is>
      </c>
      <c r="F80" s="20" t="n">
        <v>998.37</v>
      </c>
      <c r="G80" s="21" t="inlineStr">
        <is>
          <t>Pago</t>
        </is>
      </c>
    </row>
    <row r="81" ht="18" customHeight="1">
      <c r="B81" s="18" t="n">
        <v>46179</v>
      </c>
      <c r="C81" s="11" t="inlineStr">
        <is>
          <t>Entrada - Cliente B</t>
        </is>
      </c>
      <c r="D81" s="13" t="inlineStr">
        <is>
          <t>Venda de Serviço</t>
        </is>
      </c>
      <c r="E81" s="22" t="inlineStr">
        <is>
          <t>Entrada</t>
        </is>
      </c>
      <c r="F81" s="20" t="n">
        <v>2466.74</v>
      </c>
      <c r="G81" s="21" t="inlineStr">
        <is>
          <t>Pendente</t>
        </is>
      </c>
    </row>
    <row r="82" ht="18" customHeight="1">
      <c r="B82" s="18" t="n">
        <v>46179</v>
      </c>
      <c r="C82" s="11" t="inlineStr">
        <is>
          <t>Saída - Fornecedor Z</t>
        </is>
      </c>
      <c r="D82" s="13" t="inlineStr">
        <is>
          <t>Fornecedor</t>
        </is>
      </c>
      <c r="E82" s="19" t="inlineStr">
        <is>
          <t>Saída</t>
        </is>
      </c>
      <c r="F82" s="20" t="n">
        <v>4584.56</v>
      </c>
      <c r="G82" s="21" t="inlineStr">
        <is>
          <t>Atrasado</t>
        </is>
      </c>
    </row>
    <row r="83" ht="18" customHeight="1">
      <c r="B83" s="18" t="n">
        <v>46180</v>
      </c>
      <c r="C83" s="11" t="inlineStr">
        <is>
          <t>Entrada - Cliente A</t>
        </is>
      </c>
      <c r="D83" s="13" t="inlineStr">
        <is>
          <t>Venda de Serviço</t>
        </is>
      </c>
      <c r="E83" s="22" t="inlineStr">
        <is>
          <t>Entrada</t>
        </is>
      </c>
      <c r="F83" s="20" t="n">
        <v>1554.18</v>
      </c>
      <c r="G83" s="21" t="inlineStr">
        <is>
          <t>Atrasado</t>
        </is>
      </c>
    </row>
    <row r="84" ht="18" customHeight="1">
      <c r="B84" s="18" t="n">
        <v>46182</v>
      </c>
      <c r="C84" s="11" t="inlineStr">
        <is>
          <t>Entrada - Cliente B</t>
        </is>
      </c>
      <c r="D84" s="13" t="inlineStr">
        <is>
          <t>Venda de Serviço</t>
        </is>
      </c>
      <c r="E84" s="22" t="inlineStr">
        <is>
          <t>Entrada</t>
        </is>
      </c>
      <c r="F84" s="20" t="n">
        <v>3311.96</v>
      </c>
      <c r="G84" s="21" t="inlineStr">
        <is>
          <t>Pendente</t>
        </is>
      </c>
    </row>
    <row r="85" ht="18" customHeight="1">
      <c r="B85" s="18" t="n">
        <v>46182</v>
      </c>
      <c r="C85" s="11" t="inlineStr">
        <is>
          <t>Entrada - Cliente A</t>
        </is>
      </c>
      <c r="D85" s="13" t="inlineStr">
        <is>
          <t>Venda de Serviço</t>
        </is>
      </c>
      <c r="E85" s="22" t="inlineStr">
        <is>
          <t>Entrada</t>
        </is>
      </c>
      <c r="F85" s="20" t="n">
        <v>4468.67</v>
      </c>
      <c r="G85" s="21" t="inlineStr">
        <is>
          <t>Não informado</t>
        </is>
      </c>
    </row>
    <row r="86" ht="18" customHeight="1">
      <c r="B86" s="18" t="n">
        <v>46182</v>
      </c>
      <c r="C86" s="11" t="inlineStr">
        <is>
          <t>Saída - Fornecedor Y</t>
        </is>
      </c>
      <c r="D86" s="13" t="inlineStr">
        <is>
          <t>Imposto</t>
        </is>
      </c>
      <c r="E86" s="19" t="inlineStr">
        <is>
          <t>Saída</t>
        </is>
      </c>
      <c r="F86" s="20" t="n">
        <v>4636.26</v>
      </c>
      <c r="G86" s="21" t="inlineStr">
        <is>
          <t>Atrasado</t>
        </is>
      </c>
    </row>
    <row r="87" ht="18" customHeight="1">
      <c r="B87" s="18" t="n">
        <v>46183</v>
      </c>
      <c r="C87" s="11" t="inlineStr">
        <is>
          <t>Saída - Fornecedor Y</t>
        </is>
      </c>
      <c r="D87" s="13" t="inlineStr">
        <is>
          <t>Imposto</t>
        </is>
      </c>
      <c r="E87" s="19" t="inlineStr">
        <is>
          <t>Saída</t>
        </is>
      </c>
      <c r="F87" s="20" t="n">
        <v>1667.89</v>
      </c>
      <c r="G87" s="21" t="inlineStr">
        <is>
          <t>Pendente</t>
        </is>
      </c>
    </row>
    <row r="88" ht="18" customHeight="1">
      <c r="B88" s="18" t="n">
        <v>46184</v>
      </c>
      <c r="C88" s="11" t="inlineStr">
        <is>
          <t>Entrada - Cliente B</t>
        </is>
      </c>
      <c r="D88" s="13" t="inlineStr">
        <is>
          <t>Venda de Serviço</t>
        </is>
      </c>
      <c r="E88" s="22" t="inlineStr">
        <is>
          <t>Entrada</t>
        </is>
      </c>
      <c r="F88" s="20" t="n">
        <v>4326.93</v>
      </c>
      <c r="G88" s="21" t="inlineStr">
        <is>
          <t>Pendente</t>
        </is>
      </c>
    </row>
    <row r="89" ht="18" customHeight="1">
      <c r="B89" s="18" t="n">
        <v>46185</v>
      </c>
      <c r="C89" s="11" t="inlineStr">
        <is>
          <t>Saída - Fornecedor Y</t>
        </is>
      </c>
      <c r="D89" s="13" t="inlineStr">
        <is>
          <t>Fornecedor</t>
        </is>
      </c>
      <c r="E89" s="19" t="inlineStr">
        <is>
          <t>Saída</t>
        </is>
      </c>
      <c r="F89" s="20" t="n">
        <v>3367.16</v>
      </c>
      <c r="G89" s="21" t="inlineStr">
        <is>
          <t>Atrasado</t>
        </is>
      </c>
    </row>
    <row r="90" ht="18" customHeight="1">
      <c r="B90" s="18" t="n">
        <v>46186</v>
      </c>
      <c r="C90" s="11" t="inlineStr">
        <is>
          <t>Saída - Fornecedor Y</t>
        </is>
      </c>
      <c r="D90" s="13" t="inlineStr">
        <is>
          <t>Imposto</t>
        </is>
      </c>
      <c r="E90" s="19" t="inlineStr">
        <is>
          <t>Saída</t>
        </is>
      </c>
      <c r="F90" s="20" t="n">
        <v>4846.82</v>
      </c>
      <c r="G90" s="21" t="inlineStr">
        <is>
          <t>Pendente</t>
        </is>
      </c>
    </row>
    <row r="91" ht="18" customHeight="1">
      <c r="B91" s="18" t="n">
        <v>46187</v>
      </c>
      <c r="C91" s="11" t="inlineStr">
        <is>
          <t>Entrada - Cliente B</t>
        </is>
      </c>
      <c r="D91" s="13" t="inlineStr">
        <is>
          <t>Venda de Serviço</t>
        </is>
      </c>
      <c r="E91" s="22" t="inlineStr">
        <is>
          <t>Entrada</t>
        </is>
      </c>
      <c r="F91" s="20" t="n">
        <v>3096.8</v>
      </c>
      <c r="G91" s="21" t="inlineStr">
        <is>
          <t>Não informado</t>
        </is>
      </c>
    </row>
    <row r="92" ht="18" customHeight="1">
      <c r="B92" s="18" t="n">
        <v>46188</v>
      </c>
      <c r="C92" s="11" t="inlineStr">
        <is>
          <t>Saída - Fornecedor Z</t>
        </is>
      </c>
      <c r="D92" s="13" t="inlineStr">
        <is>
          <t>Imposto</t>
        </is>
      </c>
      <c r="E92" s="19" t="inlineStr">
        <is>
          <t>Saída</t>
        </is>
      </c>
      <c r="F92" s="20" t="n">
        <v>3747.72</v>
      </c>
      <c r="G92" s="21" t="inlineStr">
        <is>
          <t>Pendente</t>
        </is>
      </c>
    </row>
    <row r="93" ht="18" customHeight="1">
      <c r="B93" s="18" t="n">
        <v>46188</v>
      </c>
      <c r="C93" s="11" t="inlineStr">
        <is>
          <t>Entrada - Cliente A</t>
        </is>
      </c>
      <c r="D93" s="13" t="inlineStr">
        <is>
          <t>Venda de Serviço</t>
        </is>
      </c>
      <c r="E93" s="22" t="inlineStr">
        <is>
          <t>Entrada</t>
        </is>
      </c>
      <c r="F93" s="20" t="n">
        <v>167.14</v>
      </c>
      <c r="G93" s="21" t="inlineStr">
        <is>
          <t>Pendente</t>
        </is>
      </c>
    </row>
    <row r="94" ht="18" customHeight="1">
      <c r="B94" s="18" t="n">
        <v>46191</v>
      </c>
      <c r="C94" s="11" t="inlineStr">
        <is>
          <t>Entrada - Cliente B</t>
        </is>
      </c>
      <c r="D94" s="13" t="inlineStr">
        <is>
          <t>Venda de Serviço</t>
        </is>
      </c>
      <c r="E94" s="22" t="inlineStr">
        <is>
          <t>Entrada</t>
        </is>
      </c>
      <c r="F94" s="20" t="n">
        <v>4716.57</v>
      </c>
      <c r="G94" s="21" t="inlineStr">
        <is>
          <t>Não informado</t>
        </is>
      </c>
    </row>
    <row r="95" ht="18" customHeight="1">
      <c r="B95" s="18" t="n">
        <v>46191</v>
      </c>
      <c r="C95" s="11" t="inlineStr">
        <is>
          <t>Saída - Fornecedor Y</t>
        </is>
      </c>
      <c r="D95" s="13" t="inlineStr">
        <is>
          <t>Fornecedor</t>
        </is>
      </c>
      <c r="E95" s="19" t="inlineStr">
        <is>
          <t>Saída</t>
        </is>
      </c>
      <c r="F95" s="20" t="n">
        <v>2108.08</v>
      </c>
      <c r="G95" s="21" t="inlineStr">
        <is>
          <t>Atrasado</t>
        </is>
      </c>
    </row>
    <row r="96" ht="18" customHeight="1">
      <c r="B96" s="18" t="n">
        <v>46193</v>
      </c>
      <c r="C96" s="11" t="inlineStr">
        <is>
          <t>Saída - Fornecedor X</t>
        </is>
      </c>
      <c r="D96" s="13" t="inlineStr">
        <is>
          <t>Fornecedor</t>
        </is>
      </c>
      <c r="E96" s="19" t="inlineStr">
        <is>
          <t>Saída</t>
        </is>
      </c>
      <c r="F96" s="20" t="n">
        <v>4926.85</v>
      </c>
      <c r="G96" s="21" t="inlineStr">
        <is>
          <t>Pendente</t>
        </is>
      </c>
    </row>
    <row r="97" ht="18" customHeight="1">
      <c r="B97" s="18" t="n">
        <v>46193</v>
      </c>
      <c r="C97" s="11" t="inlineStr">
        <is>
          <t>Entrada - Cliente A</t>
        </is>
      </c>
      <c r="D97" s="13" t="inlineStr">
        <is>
          <t>Venda de Serviço</t>
        </is>
      </c>
      <c r="E97" s="22" t="inlineStr">
        <is>
          <t>Entrada</t>
        </is>
      </c>
      <c r="F97" s="20" t="n">
        <v>3947.5</v>
      </c>
      <c r="G97" s="21" t="inlineStr">
        <is>
          <t>Pago</t>
        </is>
      </c>
    </row>
    <row r="98" ht="18" customHeight="1">
      <c r="B98" s="18" t="n">
        <v>46193</v>
      </c>
      <c r="C98" s="11" t="inlineStr">
        <is>
          <t>Entrada - Cliente C</t>
        </is>
      </c>
      <c r="D98" s="13" t="inlineStr">
        <is>
          <t>Venda de Serviço</t>
        </is>
      </c>
      <c r="E98" s="22" t="inlineStr">
        <is>
          <t>Entrada</t>
        </is>
      </c>
      <c r="F98" s="20" t="n">
        <v>4290.82</v>
      </c>
      <c r="G98" s="21" t="inlineStr">
        <is>
          <t>Pendente</t>
        </is>
      </c>
    </row>
    <row r="99" ht="18" customHeight="1">
      <c r="B99" s="18" t="n">
        <v>46193</v>
      </c>
      <c r="C99" s="11" t="inlineStr">
        <is>
          <t>Entrada - Cliente C</t>
        </is>
      </c>
      <c r="D99" s="13" t="inlineStr">
        <is>
          <t>Venda de Serviço</t>
        </is>
      </c>
      <c r="E99" s="22" t="inlineStr">
        <is>
          <t>Entrada</t>
        </is>
      </c>
      <c r="F99" s="20" t="n">
        <v>999.61</v>
      </c>
      <c r="G99" s="21" t="inlineStr">
        <is>
          <t>Atrasado</t>
        </is>
      </c>
    </row>
    <row r="100" ht="18" customHeight="1">
      <c r="B100" s="18" t="n">
        <v>46196</v>
      </c>
      <c r="C100" s="11" t="inlineStr">
        <is>
          <t>Entrada - Cliente B</t>
        </is>
      </c>
      <c r="D100" s="13" t="inlineStr">
        <is>
          <t>Venda de Serviço</t>
        </is>
      </c>
      <c r="E100" s="22" t="inlineStr">
        <is>
          <t>Entrada</t>
        </is>
      </c>
      <c r="F100" s="20" t="n">
        <v>2351.92</v>
      </c>
      <c r="G100" s="21" t="inlineStr">
        <is>
          <t>Pago</t>
        </is>
      </c>
    </row>
    <row r="101" ht="18" customHeight="1">
      <c r="B101" s="18" t="n">
        <v>46196</v>
      </c>
      <c r="C101" s="11" t="inlineStr">
        <is>
          <t>Saída - Fornecedor X</t>
        </is>
      </c>
      <c r="D101" s="13" t="inlineStr">
        <is>
          <t>Salário</t>
        </is>
      </c>
      <c r="E101" s="19" t="inlineStr">
        <is>
          <t>Saída</t>
        </is>
      </c>
      <c r="F101" s="20" t="n">
        <v>3196.64</v>
      </c>
      <c r="G101" s="21" t="inlineStr">
        <is>
          <t>Não informado</t>
        </is>
      </c>
    </row>
    <row r="102" ht="18" customHeight="1">
      <c r="B102" s="18" t="n">
        <v>46202</v>
      </c>
      <c r="C102" s="11" t="inlineStr">
        <is>
          <t>Entrada - Cliente B</t>
        </is>
      </c>
      <c r="D102" s="13" t="inlineStr">
        <is>
          <t>Venda de Serviço</t>
        </is>
      </c>
      <c r="E102" s="22" t="inlineStr">
        <is>
          <t>Entrada</t>
        </is>
      </c>
      <c r="F102" s="20" t="n">
        <v>1930.64</v>
      </c>
      <c r="G102" s="21" t="inlineStr">
        <is>
          <t>Atrasado</t>
        </is>
      </c>
    </row>
    <row r="103" ht="18" customHeight="1">
      <c r="B103" s="18" t="n">
        <v>46203</v>
      </c>
      <c r="C103" s="11" t="inlineStr">
        <is>
          <t>Entrada - Cliente B</t>
        </is>
      </c>
      <c r="D103" s="13" t="inlineStr">
        <is>
          <t>Venda de Serviço</t>
        </is>
      </c>
      <c r="E103" s="22" t="inlineStr">
        <is>
          <t>Entrada</t>
        </is>
      </c>
      <c r="F103" s="20" t="n">
        <v>1806.38</v>
      </c>
      <c r="G103" s="21" t="inlineStr">
        <is>
          <t>Pendente</t>
        </is>
      </c>
    </row>
    <row r="104" ht="18" customHeight="1">
      <c r="B104" s="18" t="n">
        <v>46204</v>
      </c>
      <c r="C104" s="11" t="inlineStr">
        <is>
          <t>Saída - Fornecedor X</t>
        </is>
      </c>
      <c r="D104" s="13" t="inlineStr">
        <is>
          <t>Fornecedor</t>
        </is>
      </c>
      <c r="E104" s="19" t="inlineStr">
        <is>
          <t>Saída</t>
        </is>
      </c>
      <c r="F104" s="20" t="n">
        <v>1734.24</v>
      </c>
      <c r="G104" s="21" t="inlineStr">
        <is>
          <t>Pago</t>
        </is>
      </c>
    </row>
    <row r="105" ht="18" customHeight="1">
      <c r="B105" s="18" t="n">
        <v>46204</v>
      </c>
      <c r="C105" s="11" t="inlineStr">
        <is>
          <t>Entrada - Cliente C</t>
        </is>
      </c>
      <c r="D105" s="13" t="inlineStr">
        <is>
          <t>Venda de Serviço</t>
        </is>
      </c>
      <c r="E105" s="22" t="inlineStr">
        <is>
          <t>Entrada</t>
        </is>
      </c>
      <c r="F105" s="20" t="n">
        <v>350.03</v>
      </c>
      <c r="G105" s="21" t="inlineStr">
        <is>
          <t>Pago</t>
        </is>
      </c>
    </row>
    <row r="106" ht="18" customHeight="1">
      <c r="B106" s="18" t="n">
        <v>46204</v>
      </c>
      <c r="C106" s="11" t="inlineStr">
        <is>
          <t>Entrada - Cliente B</t>
        </is>
      </c>
      <c r="D106" s="13" t="inlineStr">
        <is>
          <t>Venda de Serviço</t>
        </is>
      </c>
      <c r="E106" s="22" t="inlineStr">
        <is>
          <t>Entrada</t>
        </is>
      </c>
      <c r="F106" s="20" t="n">
        <v>2373.98</v>
      </c>
      <c r="G106" s="21" t="inlineStr">
        <is>
          <t>Atrasado</t>
        </is>
      </c>
    </row>
    <row r="107" ht="18" customHeight="1">
      <c r="B107" s="18" t="n">
        <v>46205</v>
      </c>
      <c r="C107" s="11" t="inlineStr">
        <is>
          <t>Saída - Fornecedor X</t>
        </is>
      </c>
      <c r="D107" s="13" t="inlineStr">
        <is>
          <t>Aluguel</t>
        </is>
      </c>
      <c r="E107" s="19" t="inlineStr">
        <is>
          <t>Saída</t>
        </is>
      </c>
      <c r="F107" s="20" t="n">
        <v>4155.27</v>
      </c>
      <c r="G107" s="21" t="inlineStr">
        <is>
          <t>Pago</t>
        </is>
      </c>
    </row>
    <row r="108" ht="18" customHeight="1">
      <c r="B108" s="18" t="n">
        <v>46205</v>
      </c>
      <c r="C108" s="11" t="inlineStr">
        <is>
          <t>Saída - Fornecedor Z</t>
        </is>
      </c>
      <c r="D108" s="13" t="inlineStr">
        <is>
          <t>Manutenção</t>
        </is>
      </c>
      <c r="E108" s="19" t="inlineStr">
        <is>
          <t>Saída</t>
        </is>
      </c>
      <c r="F108" s="20" t="n">
        <v>2601.49</v>
      </c>
      <c r="G108" s="21" t="inlineStr">
        <is>
          <t>Pago</t>
        </is>
      </c>
    </row>
    <row r="109" ht="18" customHeight="1">
      <c r="B109" s="18" t="n">
        <v>46206</v>
      </c>
      <c r="C109" s="11" t="inlineStr">
        <is>
          <t>Entrada - Cliente A</t>
        </is>
      </c>
      <c r="D109" s="13" t="inlineStr">
        <is>
          <t>Venda de Serviço</t>
        </is>
      </c>
      <c r="E109" s="22" t="inlineStr">
        <is>
          <t>Entrada</t>
        </is>
      </c>
      <c r="F109" s="20" t="n">
        <v>1183.26</v>
      </c>
      <c r="G109" s="21" t="inlineStr">
        <is>
          <t>Pago</t>
        </is>
      </c>
    </row>
    <row r="110" ht="18" customHeight="1">
      <c r="B110" s="18" t="n">
        <v>46206</v>
      </c>
      <c r="C110" s="11" t="inlineStr">
        <is>
          <t>Entrada - Cliente B</t>
        </is>
      </c>
      <c r="D110" s="13" t="inlineStr">
        <is>
          <t>Venda de Serviço</t>
        </is>
      </c>
      <c r="E110" s="22" t="inlineStr">
        <is>
          <t>Entrada</t>
        </is>
      </c>
      <c r="F110" s="20" t="n">
        <v>367.93</v>
      </c>
      <c r="G110" s="21" t="inlineStr">
        <is>
          <t>Atrasado</t>
        </is>
      </c>
    </row>
    <row r="111" ht="18" customHeight="1">
      <c r="B111" s="18" t="n">
        <v>46207</v>
      </c>
      <c r="C111" s="11" t="inlineStr">
        <is>
          <t>Entrada - Cliente B</t>
        </is>
      </c>
      <c r="D111" s="13" t="inlineStr">
        <is>
          <t>Venda de Serviço</t>
        </is>
      </c>
      <c r="E111" s="22" t="inlineStr">
        <is>
          <t>Entrada</t>
        </is>
      </c>
      <c r="F111" s="20" t="n">
        <v>298.91</v>
      </c>
      <c r="G111" s="21" t="inlineStr">
        <is>
          <t>Pago</t>
        </is>
      </c>
    </row>
    <row r="112" ht="18" customHeight="1">
      <c r="B112" s="18" t="n">
        <v>46208</v>
      </c>
      <c r="C112" s="11" t="inlineStr">
        <is>
          <t>Entrada - Cliente C</t>
        </is>
      </c>
      <c r="D112" s="13" t="inlineStr">
        <is>
          <t>Venda de Serviço</t>
        </is>
      </c>
      <c r="E112" s="22" t="inlineStr">
        <is>
          <t>Entrada</t>
        </is>
      </c>
      <c r="F112" s="20" t="n">
        <v>4452.64</v>
      </c>
      <c r="G112" s="21" t="inlineStr">
        <is>
          <t>Atrasado</t>
        </is>
      </c>
    </row>
    <row r="113" ht="18" customHeight="1">
      <c r="B113" s="18" t="n">
        <v>46209</v>
      </c>
      <c r="C113" s="11" t="inlineStr">
        <is>
          <t>Saída - Fornecedor Z</t>
        </is>
      </c>
      <c r="D113" s="13" t="inlineStr">
        <is>
          <t>Marketing</t>
        </is>
      </c>
      <c r="E113" s="19" t="inlineStr">
        <is>
          <t>Saída</t>
        </is>
      </c>
      <c r="F113" s="20" t="n">
        <v>3354.51</v>
      </c>
      <c r="G113" s="21" t="inlineStr">
        <is>
          <t>Pendente</t>
        </is>
      </c>
    </row>
    <row r="114" ht="18" customHeight="1">
      <c r="B114" s="18" t="n">
        <v>46210</v>
      </c>
      <c r="C114" s="11" t="inlineStr">
        <is>
          <t>Saída - Fornecedor Z</t>
        </is>
      </c>
      <c r="D114" s="13" t="inlineStr">
        <is>
          <t>Fornecedor</t>
        </is>
      </c>
      <c r="E114" s="19" t="inlineStr">
        <is>
          <t>Saída</t>
        </is>
      </c>
      <c r="F114" s="20" t="n">
        <v>4676.8</v>
      </c>
      <c r="G114" s="21" t="inlineStr">
        <is>
          <t>Pago</t>
        </is>
      </c>
    </row>
    <row r="115" ht="18" customHeight="1">
      <c r="B115" s="18" t="n">
        <v>46211</v>
      </c>
      <c r="C115" s="11" t="inlineStr">
        <is>
          <t>Entrada - Cliente A</t>
        </is>
      </c>
      <c r="D115" s="13" t="inlineStr">
        <is>
          <t>Venda de Serviço</t>
        </is>
      </c>
      <c r="E115" s="22" t="inlineStr">
        <is>
          <t>Entrada</t>
        </is>
      </c>
      <c r="F115" s="20" t="n">
        <v>3900.07</v>
      </c>
      <c r="G115" s="21" t="inlineStr">
        <is>
          <t>Pago</t>
        </is>
      </c>
    </row>
    <row r="116" ht="18" customHeight="1">
      <c r="B116" s="18" t="n">
        <v>46212</v>
      </c>
      <c r="C116" s="11" t="inlineStr">
        <is>
          <t>Saída - Fornecedor Y</t>
        </is>
      </c>
      <c r="D116" s="13" t="inlineStr">
        <is>
          <t>Imposto</t>
        </is>
      </c>
      <c r="E116" s="19" t="inlineStr">
        <is>
          <t>Saída</t>
        </is>
      </c>
      <c r="F116" s="20" t="n">
        <v>1151.05</v>
      </c>
      <c r="G116" s="21" t="inlineStr">
        <is>
          <t>Pago</t>
        </is>
      </c>
    </row>
    <row r="117" ht="18" customHeight="1">
      <c r="B117" s="18" t="n">
        <v>46213</v>
      </c>
      <c r="C117" s="11" t="inlineStr">
        <is>
          <t>Saída - Fornecedor Z</t>
        </is>
      </c>
      <c r="D117" s="13" t="inlineStr">
        <is>
          <t>Marketing</t>
        </is>
      </c>
      <c r="E117" s="19" t="inlineStr">
        <is>
          <t>Saída</t>
        </is>
      </c>
      <c r="F117" s="20" t="n">
        <v>830.85</v>
      </c>
      <c r="G117" s="21" t="inlineStr">
        <is>
          <t>Atrasado</t>
        </is>
      </c>
    </row>
    <row r="118" ht="18" customHeight="1">
      <c r="B118" s="18" t="n">
        <v>46214</v>
      </c>
      <c r="C118" s="11" t="inlineStr">
        <is>
          <t>Entrada - Cliente C</t>
        </is>
      </c>
      <c r="D118" s="13" t="inlineStr">
        <is>
          <t>Venda de Serviço</t>
        </is>
      </c>
      <c r="E118" s="22" t="inlineStr">
        <is>
          <t>Entrada</t>
        </is>
      </c>
      <c r="F118" s="20" t="n">
        <v>3355.92</v>
      </c>
      <c r="G118" s="21" t="inlineStr">
        <is>
          <t>Atrasado</t>
        </is>
      </c>
    </row>
    <row r="119" ht="18" customHeight="1">
      <c r="B119" s="18" t="n">
        <v>46214</v>
      </c>
      <c r="C119" s="11" t="inlineStr">
        <is>
          <t>Saída - Fornecedor Z</t>
        </is>
      </c>
      <c r="D119" s="13" t="inlineStr">
        <is>
          <t>Manutenção</t>
        </is>
      </c>
      <c r="E119" s="19" t="inlineStr">
        <is>
          <t>Saída</t>
        </is>
      </c>
      <c r="F119" s="20" t="n">
        <v>2009.14</v>
      </c>
      <c r="G119" s="21" t="inlineStr">
        <is>
          <t>Pendente</t>
        </is>
      </c>
    </row>
    <row r="120" ht="18" customHeight="1">
      <c r="B120" s="18" t="n">
        <v>46214</v>
      </c>
      <c r="C120" s="11" t="inlineStr">
        <is>
          <t>Saída - Fornecedor Z</t>
        </is>
      </c>
      <c r="D120" s="13" t="inlineStr">
        <is>
          <t>Salário</t>
        </is>
      </c>
      <c r="E120" s="19" t="inlineStr">
        <is>
          <t>Saída</t>
        </is>
      </c>
      <c r="F120" s="20" t="n">
        <v>4111.72</v>
      </c>
      <c r="G120" s="21" t="inlineStr">
        <is>
          <t>Atrasado</t>
        </is>
      </c>
    </row>
    <row r="121" ht="18" customHeight="1">
      <c r="B121" s="18" t="n">
        <v>46214</v>
      </c>
      <c r="C121" s="11" t="inlineStr">
        <is>
          <t>Saída - Fornecedor Z</t>
        </is>
      </c>
      <c r="D121" s="13" t="inlineStr">
        <is>
          <t>Aluguel</t>
        </is>
      </c>
      <c r="E121" s="19" t="inlineStr">
        <is>
          <t>Saída</t>
        </is>
      </c>
      <c r="F121" s="20" t="n">
        <v>3333.77</v>
      </c>
      <c r="G121" s="21" t="inlineStr">
        <is>
          <t>Atrasado</t>
        </is>
      </c>
    </row>
    <row r="122" ht="18" customHeight="1">
      <c r="B122" s="18" t="n">
        <v>46215</v>
      </c>
      <c r="C122" s="11" t="inlineStr">
        <is>
          <t>Saída - Fornecedor X</t>
        </is>
      </c>
      <c r="D122" s="13" t="inlineStr">
        <is>
          <t>Aluguel</t>
        </is>
      </c>
      <c r="E122" s="19" t="inlineStr">
        <is>
          <t>Saída</t>
        </is>
      </c>
      <c r="F122" s="20" t="n">
        <v>2268.46</v>
      </c>
      <c r="G122" s="21" t="inlineStr">
        <is>
          <t>Pago</t>
        </is>
      </c>
    </row>
    <row r="123" ht="18" customHeight="1">
      <c r="B123" s="18" t="n">
        <v>46215</v>
      </c>
      <c r="C123" s="11" t="inlineStr">
        <is>
          <t>Saída - Fornecedor X</t>
        </is>
      </c>
      <c r="D123" s="13" t="inlineStr">
        <is>
          <t>Salário</t>
        </is>
      </c>
      <c r="E123" s="19" t="inlineStr">
        <is>
          <t>Saída</t>
        </is>
      </c>
      <c r="F123" s="20" t="n">
        <v>3854.56</v>
      </c>
      <c r="G123" s="21" t="inlineStr">
        <is>
          <t>Pendente</t>
        </is>
      </c>
    </row>
    <row r="124" ht="18" customHeight="1">
      <c r="B124" s="18" t="n">
        <v>46216</v>
      </c>
      <c r="C124" s="11" t="inlineStr">
        <is>
          <t>Saída - Fornecedor Z</t>
        </is>
      </c>
      <c r="D124" s="13" t="inlineStr">
        <is>
          <t>Aluguel</t>
        </is>
      </c>
      <c r="E124" s="19" t="inlineStr">
        <is>
          <t>Saída</t>
        </is>
      </c>
      <c r="F124" s="20" t="n">
        <v>275.3</v>
      </c>
      <c r="G124" s="21" t="inlineStr">
        <is>
          <t>Atrasado</t>
        </is>
      </c>
    </row>
    <row r="125" ht="18" customHeight="1">
      <c r="B125" s="18" t="n">
        <v>46216</v>
      </c>
      <c r="C125" s="11" t="inlineStr">
        <is>
          <t>Entrada - Cliente C</t>
        </is>
      </c>
      <c r="D125" s="13" t="inlineStr">
        <is>
          <t>Venda de Serviço</t>
        </is>
      </c>
      <c r="E125" s="22" t="inlineStr">
        <is>
          <t>Entrada</t>
        </is>
      </c>
      <c r="F125" s="20" t="n">
        <v>2516.96</v>
      </c>
      <c r="G125" s="21" t="inlineStr">
        <is>
          <t>Atrasado</t>
        </is>
      </c>
    </row>
    <row r="126" ht="18" customHeight="1">
      <c r="B126" s="18" t="n">
        <v>46217</v>
      </c>
      <c r="C126" s="11" t="inlineStr">
        <is>
          <t>Entrada - Cliente C</t>
        </is>
      </c>
      <c r="D126" s="13" t="inlineStr">
        <is>
          <t>Venda de Serviço</t>
        </is>
      </c>
      <c r="E126" s="22" t="inlineStr">
        <is>
          <t>Entrada</t>
        </is>
      </c>
      <c r="F126" s="20" t="n">
        <v>1212.11</v>
      </c>
      <c r="G126" s="21" t="inlineStr">
        <is>
          <t>Pago</t>
        </is>
      </c>
    </row>
    <row r="127" ht="18" customHeight="1">
      <c r="B127" s="18" t="n">
        <v>46219</v>
      </c>
      <c r="C127" s="11" t="inlineStr">
        <is>
          <t>Entrada - Cliente A</t>
        </is>
      </c>
      <c r="D127" s="13" t="inlineStr">
        <is>
          <t>Venda de Serviço</t>
        </is>
      </c>
      <c r="E127" s="22" t="inlineStr">
        <is>
          <t>Entrada</t>
        </is>
      </c>
      <c r="F127" s="20" t="n">
        <v>4162.12</v>
      </c>
      <c r="G127" s="21" t="inlineStr">
        <is>
          <t>Pendente</t>
        </is>
      </c>
    </row>
    <row r="128" ht="18" customHeight="1">
      <c r="B128" s="18" t="n">
        <v>46220</v>
      </c>
      <c r="C128" s="11" t="inlineStr">
        <is>
          <t>Saída - Fornecedor Z</t>
        </is>
      </c>
      <c r="D128" s="13" t="inlineStr">
        <is>
          <t>Fornecedor</t>
        </is>
      </c>
      <c r="E128" s="19" t="inlineStr">
        <is>
          <t>Saída</t>
        </is>
      </c>
      <c r="F128" s="20" t="n">
        <v>2277.85</v>
      </c>
      <c r="G128" s="21" t="inlineStr">
        <is>
          <t>Atrasado</t>
        </is>
      </c>
    </row>
    <row r="129" ht="18" customHeight="1">
      <c r="B129" s="18" t="n">
        <v>46221</v>
      </c>
      <c r="C129" s="11" t="inlineStr">
        <is>
          <t>Entrada - Cliente A</t>
        </is>
      </c>
      <c r="D129" s="13" t="inlineStr">
        <is>
          <t>Venda de Serviço</t>
        </is>
      </c>
      <c r="E129" s="22" t="inlineStr">
        <is>
          <t>Entrada</t>
        </is>
      </c>
      <c r="F129" s="20" t="n">
        <v>3724.96</v>
      </c>
      <c r="G129" s="21" t="inlineStr">
        <is>
          <t>Pendente</t>
        </is>
      </c>
    </row>
    <row r="130" ht="18" customHeight="1">
      <c r="B130" s="18" t="n">
        <v>46221</v>
      </c>
      <c r="C130" s="11" t="inlineStr">
        <is>
          <t>Entrada - Cliente B</t>
        </is>
      </c>
      <c r="D130" s="13" t="inlineStr">
        <is>
          <t>Venda de Serviço</t>
        </is>
      </c>
      <c r="E130" s="22" t="inlineStr">
        <is>
          <t>Entrada</t>
        </is>
      </c>
      <c r="F130" s="20" t="n">
        <v>858.84</v>
      </c>
      <c r="G130" s="21" t="inlineStr">
        <is>
          <t>Atrasado</t>
        </is>
      </c>
    </row>
    <row r="131" ht="18" customHeight="1">
      <c r="B131" s="18" t="n">
        <v>46221</v>
      </c>
      <c r="C131" s="11" t="inlineStr">
        <is>
          <t>Entrada - Cliente C</t>
        </is>
      </c>
      <c r="D131" s="13" t="inlineStr">
        <is>
          <t>Venda de Serviço</t>
        </is>
      </c>
      <c r="E131" s="22" t="inlineStr">
        <is>
          <t>Entrada</t>
        </is>
      </c>
      <c r="F131" s="20" t="n">
        <v>3682.29</v>
      </c>
      <c r="G131" s="21" t="inlineStr">
        <is>
          <t>Atrasado</t>
        </is>
      </c>
    </row>
    <row r="132" ht="18" customHeight="1">
      <c r="B132" s="18" t="n">
        <v>46222</v>
      </c>
      <c r="C132" s="11" t="inlineStr">
        <is>
          <t>Entrada - Cliente C</t>
        </is>
      </c>
      <c r="D132" s="13" t="inlineStr">
        <is>
          <t>Venda de Serviço</t>
        </is>
      </c>
      <c r="E132" s="22" t="inlineStr">
        <is>
          <t>Entrada</t>
        </is>
      </c>
      <c r="F132" s="20" t="n">
        <v>4997.88</v>
      </c>
      <c r="G132" s="21" t="inlineStr">
        <is>
          <t>Atrasado</t>
        </is>
      </c>
    </row>
    <row r="133" ht="18" customHeight="1">
      <c r="B133" s="18" t="n">
        <v>46222</v>
      </c>
      <c r="C133" s="11" t="inlineStr">
        <is>
          <t>Saída - Fornecedor Z</t>
        </is>
      </c>
      <c r="D133" s="13" t="inlineStr">
        <is>
          <t>Manutenção</t>
        </is>
      </c>
      <c r="E133" s="19" t="inlineStr">
        <is>
          <t>Saída</t>
        </is>
      </c>
      <c r="F133" s="20" t="n">
        <v>2351.13</v>
      </c>
      <c r="G133" s="21" t="inlineStr">
        <is>
          <t>Pendente</t>
        </is>
      </c>
    </row>
    <row r="134" ht="18" customHeight="1">
      <c r="B134" s="18" t="n">
        <v>46223</v>
      </c>
      <c r="C134" s="11" t="inlineStr">
        <is>
          <t>Entrada - Cliente A</t>
        </is>
      </c>
      <c r="D134" s="13" t="inlineStr">
        <is>
          <t>Venda de Serviço</t>
        </is>
      </c>
      <c r="E134" s="22" t="inlineStr">
        <is>
          <t>Entrada</t>
        </is>
      </c>
      <c r="F134" s="20" t="n">
        <v>4697.7</v>
      </c>
      <c r="G134" s="21" t="inlineStr">
        <is>
          <t>Pago</t>
        </is>
      </c>
    </row>
    <row r="135" ht="18" customHeight="1">
      <c r="B135" s="18" t="n">
        <v>46223</v>
      </c>
      <c r="C135" s="11" t="inlineStr">
        <is>
          <t>Entrada - Cliente C</t>
        </is>
      </c>
      <c r="D135" s="13" t="inlineStr">
        <is>
          <t>Venda de Serviço</t>
        </is>
      </c>
      <c r="E135" s="22" t="inlineStr">
        <is>
          <t>Entrada</t>
        </is>
      </c>
      <c r="F135" s="20" t="n">
        <v>2295.93</v>
      </c>
      <c r="G135" s="21" t="inlineStr">
        <is>
          <t>Atrasado</t>
        </is>
      </c>
    </row>
    <row r="136" ht="18" customHeight="1">
      <c r="B136" s="18" t="n">
        <v>46226</v>
      </c>
      <c r="C136" s="11" t="inlineStr">
        <is>
          <t>Saída - Fornecedor Z</t>
        </is>
      </c>
      <c r="D136" s="13" t="inlineStr">
        <is>
          <t>Imposto</t>
        </is>
      </c>
      <c r="E136" s="19" t="inlineStr">
        <is>
          <t>Saída</t>
        </is>
      </c>
      <c r="F136" s="20" t="n">
        <v>1939.02</v>
      </c>
      <c r="G136" s="21" t="inlineStr">
        <is>
          <t>Atrasado</t>
        </is>
      </c>
    </row>
    <row r="137" ht="18" customHeight="1">
      <c r="B137" s="18" t="n">
        <v>46226</v>
      </c>
      <c r="C137" s="11" t="inlineStr">
        <is>
          <t>Saída - Fornecedor Y</t>
        </is>
      </c>
      <c r="D137" s="13" t="inlineStr">
        <is>
          <t>Salário</t>
        </is>
      </c>
      <c r="E137" s="19" t="inlineStr">
        <is>
          <t>Saída</t>
        </is>
      </c>
      <c r="F137" s="20" t="n">
        <v>3529.13</v>
      </c>
      <c r="G137" s="21" t="inlineStr">
        <is>
          <t>Pago</t>
        </is>
      </c>
    </row>
    <row r="138" ht="18" customHeight="1">
      <c r="B138" s="18" t="n">
        <v>46227</v>
      </c>
      <c r="C138" s="11" t="inlineStr">
        <is>
          <t>Entrada - Cliente C</t>
        </is>
      </c>
      <c r="D138" s="13" t="inlineStr">
        <is>
          <t>Venda de Serviço</t>
        </is>
      </c>
      <c r="E138" s="22" t="inlineStr">
        <is>
          <t>Entrada</t>
        </is>
      </c>
      <c r="F138" s="20" t="n">
        <v>2048.69</v>
      </c>
      <c r="G138" s="21" t="inlineStr">
        <is>
          <t>Atrasado</t>
        </is>
      </c>
    </row>
    <row r="139" ht="18" customHeight="1">
      <c r="B139" s="18" t="n">
        <v>46227</v>
      </c>
      <c r="C139" s="11" t="inlineStr">
        <is>
          <t>Saída - Fornecedor Z</t>
        </is>
      </c>
      <c r="D139" s="13" t="inlineStr">
        <is>
          <t>Imposto</t>
        </is>
      </c>
      <c r="E139" s="19" t="inlineStr">
        <is>
          <t>Saída</t>
        </is>
      </c>
      <c r="F139" s="20" t="n">
        <v>3922.81</v>
      </c>
      <c r="G139" s="21" t="inlineStr">
        <is>
          <t>Pendente</t>
        </is>
      </c>
    </row>
    <row r="140" ht="18" customHeight="1">
      <c r="B140" s="18" t="n">
        <v>46228</v>
      </c>
      <c r="C140" s="11" t="inlineStr">
        <is>
          <t>Entrada - Cliente B</t>
        </is>
      </c>
      <c r="D140" s="13" t="inlineStr">
        <is>
          <t>Venda de Serviço</t>
        </is>
      </c>
      <c r="E140" s="22" t="inlineStr">
        <is>
          <t>Entrada</t>
        </is>
      </c>
      <c r="F140" s="20" t="n">
        <v>173.8</v>
      </c>
      <c r="G140" s="21" t="inlineStr">
        <is>
          <t>Pago</t>
        </is>
      </c>
    </row>
    <row r="141" ht="18" customHeight="1">
      <c r="B141" s="18" t="n">
        <v>46228</v>
      </c>
      <c r="C141" s="11" t="inlineStr">
        <is>
          <t>Entrada - Cliente A</t>
        </is>
      </c>
      <c r="D141" s="13" t="inlineStr">
        <is>
          <t>Venda de Serviço</t>
        </is>
      </c>
      <c r="E141" s="22" t="inlineStr">
        <is>
          <t>Entrada</t>
        </is>
      </c>
      <c r="F141" s="20" t="n">
        <v>4669.63</v>
      </c>
      <c r="G141" s="21" t="inlineStr">
        <is>
          <t>Pendente</t>
        </is>
      </c>
    </row>
    <row r="142" ht="18" customHeight="1">
      <c r="B142" s="18" t="n">
        <v>46228</v>
      </c>
      <c r="C142" s="11" t="inlineStr">
        <is>
          <t>Saída - Fornecedor Y</t>
        </is>
      </c>
      <c r="D142" s="13" t="inlineStr">
        <is>
          <t>Imposto</t>
        </is>
      </c>
      <c r="E142" s="19" t="inlineStr">
        <is>
          <t>Saída</t>
        </is>
      </c>
      <c r="F142" s="20" t="n">
        <v>2106.68</v>
      </c>
      <c r="G142" s="21" t="inlineStr">
        <is>
          <t>Pendente</t>
        </is>
      </c>
    </row>
    <row r="143" ht="18" customHeight="1">
      <c r="B143" s="18" t="n">
        <v>46230</v>
      </c>
      <c r="C143" s="11" t="inlineStr">
        <is>
          <t>Saída - Fornecedor X</t>
        </is>
      </c>
      <c r="D143" s="13" t="inlineStr">
        <is>
          <t>Manutenção</t>
        </is>
      </c>
      <c r="E143" s="19" t="inlineStr">
        <is>
          <t>Saída</t>
        </is>
      </c>
      <c r="F143" s="20" t="n">
        <v>4870.49</v>
      </c>
      <c r="G143" s="21" t="inlineStr">
        <is>
          <t>Pago</t>
        </is>
      </c>
    </row>
    <row r="144" ht="18" customHeight="1">
      <c r="B144" s="18" t="n">
        <v>46231</v>
      </c>
      <c r="C144" s="11" t="inlineStr">
        <is>
          <t>Saída - Fornecedor X</t>
        </is>
      </c>
      <c r="D144" s="13" t="inlineStr">
        <is>
          <t>Aluguel</t>
        </is>
      </c>
      <c r="E144" s="19" t="inlineStr">
        <is>
          <t>Saída</t>
        </is>
      </c>
      <c r="F144" s="20" t="n">
        <v>207.32</v>
      </c>
      <c r="G144" s="21" t="inlineStr">
        <is>
          <t>Atrasado</t>
        </is>
      </c>
    </row>
    <row r="145" ht="18" customHeight="1">
      <c r="B145" s="18" t="n">
        <v>46232</v>
      </c>
      <c r="C145" s="11" t="inlineStr">
        <is>
          <t>Entrada - Cliente A</t>
        </is>
      </c>
      <c r="D145" s="13" t="inlineStr">
        <is>
          <t>Venda de Serviço</t>
        </is>
      </c>
      <c r="E145" s="22" t="inlineStr">
        <is>
          <t>Entrada</t>
        </is>
      </c>
      <c r="F145" s="20" t="n">
        <v>3438.84</v>
      </c>
      <c r="G145" s="21" t="inlineStr">
        <is>
          <t>Pago</t>
        </is>
      </c>
    </row>
    <row r="146" ht="18" customHeight="1">
      <c r="B146" s="18" t="n">
        <v>46232</v>
      </c>
      <c r="C146" s="11" t="inlineStr">
        <is>
          <t>Saída - Fornecedor Y</t>
        </is>
      </c>
      <c r="D146" s="13" t="inlineStr">
        <is>
          <t>Fornecedor</t>
        </is>
      </c>
      <c r="E146" s="19" t="inlineStr">
        <is>
          <t>Saída</t>
        </is>
      </c>
      <c r="F146" s="20" t="n">
        <v>4903.53</v>
      </c>
      <c r="G146" s="21" t="inlineStr">
        <is>
          <t>Pendente</t>
        </is>
      </c>
    </row>
    <row r="147" ht="18" customHeight="1">
      <c r="B147" s="18" t="n">
        <v>46233</v>
      </c>
      <c r="C147" s="11" t="inlineStr">
        <is>
          <t>Entrada - Cliente C</t>
        </is>
      </c>
      <c r="D147" s="13" t="inlineStr">
        <is>
          <t>Venda de Serviço</t>
        </is>
      </c>
      <c r="E147" s="22" t="inlineStr">
        <is>
          <t>Entrada</t>
        </is>
      </c>
      <c r="F147" s="20" t="n">
        <v>2154.44</v>
      </c>
      <c r="G147" s="21" t="inlineStr">
        <is>
          <t>Atrasado</t>
        </is>
      </c>
    </row>
    <row r="148" ht="18" customHeight="1">
      <c r="B148" s="18" t="n">
        <v>46236</v>
      </c>
      <c r="C148" s="11" t="inlineStr">
        <is>
          <t>Entrada - Cliente B</t>
        </is>
      </c>
      <c r="D148" s="13" t="inlineStr">
        <is>
          <t>Venda de Serviço</t>
        </is>
      </c>
      <c r="E148" s="22" t="inlineStr">
        <is>
          <t>Entrada</t>
        </is>
      </c>
      <c r="F148" s="20" t="n">
        <v>1428.46</v>
      </c>
      <c r="G148" s="21" t="inlineStr">
        <is>
          <t>Atrasado</t>
        </is>
      </c>
    </row>
    <row r="149" ht="18" customHeight="1">
      <c r="B149" s="18" t="n">
        <v>46236</v>
      </c>
      <c r="C149" s="11" t="inlineStr">
        <is>
          <t>Saída - Fornecedor Y</t>
        </is>
      </c>
      <c r="D149" s="13" t="inlineStr">
        <is>
          <t>Marketing</t>
        </is>
      </c>
      <c r="E149" s="19" t="inlineStr">
        <is>
          <t>Saída</t>
        </is>
      </c>
      <c r="F149" s="20" t="n">
        <v>2661.99</v>
      </c>
      <c r="G149" s="21" t="inlineStr">
        <is>
          <t>Atrasado</t>
        </is>
      </c>
    </row>
    <row r="150" ht="18" customHeight="1">
      <c r="B150" s="18" t="n">
        <v>46236</v>
      </c>
      <c r="C150" s="11" t="inlineStr">
        <is>
          <t>Saída - Fornecedor Z</t>
        </is>
      </c>
      <c r="D150" s="13" t="inlineStr">
        <is>
          <t>Imposto</t>
        </is>
      </c>
      <c r="E150" s="19" t="inlineStr">
        <is>
          <t>Saída</t>
        </is>
      </c>
      <c r="F150" s="20" t="n">
        <v>2351.69</v>
      </c>
      <c r="G150" s="21" t="inlineStr">
        <is>
          <t>Atrasado</t>
        </is>
      </c>
    </row>
    <row r="151" ht="18" customHeight="1">
      <c r="B151" s="18" t="n">
        <v>46240</v>
      </c>
      <c r="C151" s="11" t="inlineStr">
        <is>
          <t>Entrada - Cliente A</t>
        </is>
      </c>
      <c r="D151" s="13" t="inlineStr">
        <is>
          <t>Venda de Serviço</t>
        </is>
      </c>
      <c r="E151" s="22" t="inlineStr">
        <is>
          <t>Entrada</t>
        </is>
      </c>
      <c r="F151" s="20" t="n">
        <v>3380.34</v>
      </c>
      <c r="G151" s="21" t="inlineStr">
        <is>
          <t>Pago</t>
        </is>
      </c>
    </row>
    <row r="152" ht="18" customHeight="1">
      <c r="B152" s="18" t="n">
        <v>46241</v>
      </c>
      <c r="C152" s="11" t="inlineStr">
        <is>
          <t>Saída - Fornecedor Z</t>
        </is>
      </c>
      <c r="D152" s="13" t="inlineStr">
        <is>
          <t>Manutenção</t>
        </is>
      </c>
      <c r="E152" s="19" t="inlineStr">
        <is>
          <t>Saída</t>
        </is>
      </c>
      <c r="F152" s="20" t="n">
        <v>2101.48</v>
      </c>
      <c r="G152" s="21" t="inlineStr">
        <is>
          <t>Atrasado</t>
        </is>
      </c>
    </row>
    <row r="153" ht="18" customHeight="1">
      <c r="B153" s="18" t="n">
        <v>46242</v>
      </c>
      <c r="C153" s="11" t="inlineStr">
        <is>
          <t>Entrada - Cliente C</t>
        </is>
      </c>
      <c r="D153" s="13" t="inlineStr">
        <is>
          <t>Venda de Serviço</t>
        </is>
      </c>
      <c r="E153" s="22" t="inlineStr">
        <is>
          <t>Entrada</t>
        </is>
      </c>
      <c r="F153" s="20" t="n">
        <v>1956.72</v>
      </c>
      <c r="G153" s="21" t="inlineStr">
        <is>
          <t>Pendente</t>
        </is>
      </c>
    </row>
    <row r="154" ht="18" customHeight="1">
      <c r="B154" s="18" t="n">
        <v>46242</v>
      </c>
      <c r="C154" s="11" t="inlineStr">
        <is>
          <t>Entrada - Cliente B</t>
        </is>
      </c>
      <c r="D154" s="13" t="inlineStr">
        <is>
          <t>Venda de Serviço</t>
        </is>
      </c>
      <c r="E154" s="22" t="inlineStr">
        <is>
          <t>Entrada</t>
        </is>
      </c>
      <c r="F154" s="20" t="n">
        <v>3933.87</v>
      </c>
      <c r="G154" s="21" t="inlineStr">
        <is>
          <t>Pago</t>
        </is>
      </c>
    </row>
    <row r="155" ht="18" customHeight="1">
      <c r="B155" s="18" t="n">
        <v>46243</v>
      </c>
      <c r="C155" s="11" t="inlineStr">
        <is>
          <t>Saída - Fornecedor Y</t>
        </is>
      </c>
      <c r="D155" s="13" t="inlineStr">
        <is>
          <t>Imposto</t>
        </is>
      </c>
      <c r="E155" s="19" t="inlineStr">
        <is>
          <t>Saída</t>
        </is>
      </c>
      <c r="F155" s="20" t="n">
        <v>2373.51</v>
      </c>
      <c r="G155" s="21" t="inlineStr">
        <is>
          <t>Pago</t>
        </is>
      </c>
    </row>
    <row r="156" ht="18" customHeight="1">
      <c r="B156" s="18" t="n">
        <v>46244</v>
      </c>
      <c r="C156" s="11" t="inlineStr">
        <is>
          <t>Saída - Fornecedor Y</t>
        </is>
      </c>
      <c r="D156" s="13" t="inlineStr">
        <is>
          <t>Imposto</t>
        </is>
      </c>
      <c r="E156" s="19" t="inlineStr">
        <is>
          <t>Saída</t>
        </is>
      </c>
      <c r="F156" s="20" t="n">
        <v>1715.16</v>
      </c>
      <c r="G156" s="21" t="inlineStr">
        <is>
          <t>Pendente</t>
        </is>
      </c>
    </row>
    <row r="157" ht="18" customHeight="1">
      <c r="B157" s="18" t="n">
        <v>46245</v>
      </c>
      <c r="C157" s="11" t="inlineStr">
        <is>
          <t>Entrada - Cliente A</t>
        </is>
      </c>
      <c r="D157" s="13" t="inlineStr">
        <is>
          <t>Venda de Serviço</t>
        </is>
      </c>
      <c r="E157" s="22" t="inlineStr">
        <is>
          <t>Entrada</t>
        </is>
      </c>
      <c r="F157" s="20" t="n">
        <v>4413.01</v>
      </c>
      <c r="G157" s="21" t="inlineStr">
        <is>
          <t>Atrasado</t>
        </is>
      </c>
    </row>
    <row r="158" ht="18" customHeight="1">
      <c r="B158" s="18" t="n">
        <v>46250</v>
      </c>
      <c r="C158" s="11" t="inlineStr">
        <is>
          <t>Entrada - Cliente A</t>
        </is>
      </c>
      <c r="D158" s="13" t="inlineStr">
        <is>
          <t>Venda de Serviço</t>
        </is>
      </c>
      <c r="E158" s="22" t="inlineStr">
        <is>
          <t>Entrada</t>
        </is>
      </c>
      <c r="F158" s="20" t="n">
        <v>1360</v>
      </c>
      <c r="G158" s="21" t="inlineStr">
        <is>
          <t>Pago</t>
        </is>
      </c>
    </row>
    <row r="159" ht="18" customHeight="1">
      <c r="B159" s="18" t="n">
        <v>46250</v>
      </c>
      <c r="C159" s="11" t="inlineStr">
        <is>
          <t>Saída - Fornecedor Y</t>
        </is>
      </c>
      <c r="D159" s="13" t="inlineStr">
        <is>
          <t>Marketing</t>
        </is>
      </c>
      <c r="E159" s="19" t="inlineStr">
        <is>
          <t>Saída</t>
        </is>
      </c>
      <c r="F159" s="20" t="n">
        <v>4161.32</v>
      </c>
      <c r="G159" s="21" t="inlineStr">
        <is>
          <t>Atrasado</t>
        </is>
      </c>
    </row>
    <row r="160" ht="18" customHeight="1">
      <c r="B160" s="18" t="n">
        <v>46251</v>
      </c>
      <c r="C160" s="11" t="inlineStr">
        <is>
          <t>Entrada - Cliente A</t>
        </is>
      </c>
      <c r="D160" s="13" t="inlineStr">
        <is>
          <t>Venda de Serviço</t>
        </is>
      </c>
      <c r="E160" s="22" t="inlineStr">
        <is>
          <t>Entrada</t>
        </is>
      </c>
      <c r="F160" s="20" t="n">
        <v>3791.12</v>
      </c>
      <c r="G160" s="21" t="inlineStr">
        <is>
          <t>Atrasado</t>
        </is>
      </c>
    </row>
    <row r="161" ht="18" customHeight="1">
      <c r="B161" s="18" t="n">
        <v>46251</v>
      </c>
      <c r="C161" s="11" t="inlineStr">
        <is>
          <t>Saída - Fornecedor Z</t>
        </is>
      </c>
      <c r="D161" s="13" t="inlineStr">
        <is>
          <t>Imposto</t>
        </is>
      </c>
      <c r="E161" s="19" t="inlineStr">
        <is>
          <t>Saída</t>
        </is>
      </c>
      <c r="F161" s="20" t="n">
        <v>3196.15</v>
      </c>
      <c r="G161" s="21" t="inlineStr">
        <is>
          <t>Pendente</t>
        </is>
      </c>
    </row>
    <row r="162" ht="18" customHeight="1">
      <c r="B162" s="18" t="n">
        <v>46252</v>
      </c>
      <c r="C162" s="11" t="inlineStr">
        <is>
          <t>Entrada - Cliente C</t>
        </is>
      </c>
      <c r="D162" s="13" t="inlineStr">
        <is>
          <t>Venda de Serviço</t>
        </is>
      </c>
      <c r="E162" s="22" t="inlineStr">
        <is>
          <t>Entrada</t>
        </is>
      </c>
      <c r="F162" s="20" t="n">
        <v>603.78</v>
      </c>
      <c r="G162" s="21" t="inlineStr">
        <is>
          <t>Atrasado</t>
        </is>
      </c>
    </row>
    <row r="163" ht="18" customHeight="1">
      <c r="B163" s="18" t="n">
        <v>46256</v>
      </c>
      <c r="C163" s="11" t="inlineStr">
        <is>
          <t>Entrada - Cliente B</t>
        </is>
      </c>
      <c r="D163" s="13" t="inlineStr">
        <is>
          <t>Venda de Serviço</t>
        </is>
      </c>
      <c r="E163" s="22" t="inlineStr">
        <is>
          <t>Entrada</t>
        </is>
      </c>
      <c r="F163" s="20" t="n">
        <v>465.54</v>
      </c>
      <c r="G163" s="21" t="inlineStr">
        <is>
          <t>Pendente</t>
        </is>
      </c>
    </row>
    <row r="164" ht="18" customHeight="1">
      <c r="B164" s="18" t="n">
        <v>46258</v>
      </c>
      <c r="C164" s="11" t="inlineStr">
        <is>
          <t>Entrada - Cliente A</t>
        </is>
      </c>
      <c r="D164" s="13" t="inlineStr">
        <is>
          <t>Venda de Serviço</t>
        </is>
      </c>
      <c r="E164" s="22" t="inlineStr">
        <is>
          <t>Entrada</t>
        </is>
      </c>
      <c r="F164" s="20" t="n">
        <v>2501.88</v>
      </c>
      <c r="G164" s="21" t="inlineStr">
        <is>
          <t>Atrasado</t>
        </is>
      </c>
    </row>
    <row r="165" ht="18" customHeight="1">
      <c r="B165" s="18" t="n">
        <v>46259</v>
      </c>
      <c r="C165" s="11" t="inlineStr">
        <is>
          <t>Saída - Fornecedor Y</t>
        </is>
      </c>
      <c r="D165" s="13" t="inlineStr">
        <is>
          <t>Manutenção</t>
        </is>
      </c>
      <c r="E165" s="19" t="inlineStr">
        <is>
          <t>Saída</t>
        </is>
      </c>
      <c r="F165" s="20" t="n">
        <v>2218.67</v>
      </c>
      <c r="G165" s="21" t="inlineStr">
        <is>
          <t>Pago</t>
        </is>
      </c>
    </row>
    <row r="166" ht="18" customHeight="1">
      <c r="B166" s="18" t="n">
        <v>46260</v>
      </c>
      <c r="C166" s="11" t="inlineStr">
        <is>
          <t>Entrada - Cliente B</t>
        </is>
      </c>
      <c r="D166" s="13" t="inlineStr">
        <is>
          <t>Venda de Serviço</t>
        </is>
      </c>
      <c r="E166" s="22" t="inlineStr">
        <is>
          <t>Entrada</t>
        </is>
      </c>
      <c r="F166" s="20" t="n">
        <v>3620.36</v>
      </c>
      <c r="G166" s="21" t="inlineStr">
        <is>
          <t>Atrasado</t>
        </is>
      </c>
    </row>
    <row r="167" ht="18" customHeight="1">
      <c r="B167" s="18" t="n">
        <v>46260</v>
      </c>
      <c r="C167" s="11" t="inlineStr">
        <is>
          <t>Saída - Fornecedor Y</t>
        </is>
      </c>
      <c r="D167" s="13" t="inlineStr">
        <is>
          <t>Marketing</t>
        </is>
      </c>
      <c r="E167" s="19" t="inlineStr">
        <is>
          <t>Saída</t>
        </is>
      </c>
      <c r="F167" s="20" t="n">
        <v>2218.6</v>
      </c>
      <c r="G167" s="21" t="inlineStr">
        <is>
          <t>Pago</t>
        </is>
      </c>
    </row>
    <row r="168" ht="18" customHeight="1">
      <c r="B168" s="18" t="n">
        <v>46260</v>
      </c>
      <c r="C168" s="11" t="inlineStr">
        <is>
          <t>Saída - Fornecedor Y</t>
        </is>
      </c>
      <c r="D168" s="13" t="inlineStr">
        <is>
          <t>Aluguel</t>
        </is>
      </c>
      <c r="E168" s="19" t="inlineStr">
        <is>
          <t>Saída</t>
        </is>
      </c>
      <c r="F168" s="20" t="n">
        <v>511.39</v>
      </c>
      <c r="G168" s="21" t="inlineStr">
        <is>
          <t>Atrasado</t>
        </is>
      </c>
    </row>
    <row r="169" ht="18" customHeight="1">
      <c r="B169" s="18" t="n">
        <v>46261</v>
      </c>
      <c r="C169" s="11" t="inlineStr">
        <is>
          <t>Entrada - Cliente B</t>
        </is>
      </c>
      <c r="D169" s="13" t="inlineStr">
        <is>
          <t>Venda de Serviço</t>
        </is>
      </c>
      <c r="E169" s="22" t="inlineStr">
        <is>
          <t>Entrada</t>
        </is>
      </c>
      <c r="F169" s="20" t="n">
        <v>1606.86</v>
      </c>
      <c r="G169" s="21" t="inlineStr">
        <is>
          <t>Pendente</t>
        </is>
      </c>
    </row>
    <row r="170" ht="18" customHeight="1">
      <c r="B170" s="18" t="n">
        <v>46261</v>
      </c>
      <c r="C170" s="11" t="inlineStr">
        <is>
          <t>Entrada - Cliente C</t>
        </is>
      </c>
      <c r="D170" s="13" t="inlineStr">
        <is>
          <t>Venda de Serviço</t>
        </is>
      </c>
      <c r="E170" s="22" t="inlineStr">
        <is>
          <t>Entrada</t>
        </is>
      </c>
      <c r="F170" s="20" t="n">
        <v>674.79</v>
      </c>
      <c r="G170" s="21" t="inlineStr">
        <is>
          <t>Atrasado</t>
        </is>
      </c>
    </row>
    <row r="171" ht="18" customHeight="1">
      <c r="B171" s="18" t="n">
        <v>46263</v>
      </c>
      <c r="C171" s="11" t="inlineStr">
        <is>
          <t>Entrada - Cliente B</t>
        </is>
      </c>
      <c r="D171" s="13" t="inlineStr">
        <is>
          <t>Venda de Serviço</t>
        </is>
      </c>
      <c r="E171" s="22" t="inlineStr">
        <is>
          <t>Entrada</t>
        </is>
      </c>
      <c r="F171" s="20" t="n">
        <v>4255.4</v>
      </c>
      <c r="G171" s="21" t="inlineStr">
        <is>
          <t>Pendente</t>
        </is>
      </c>
    </row>
    <row r="172" ht="18" customHeight="1">
      <c r="B172" s="18" t="n">
        <v>46263</v>
      </c>
      <c r="C172" s="11" t="inlineStr">
        <is>
          <t>Saída - Fornecedor X</t>
        </is>
      </c>
      <c r="D172" s="13" t="inlineStr">
        <is>
          <t>Salário</t>
        </is>
      </c>
      <c r="E172" s="19" t="inlineStr">
        <is>
          <t>Saída</t>
        </is>
      </c>
      <c r="F172" s="20" t="n">
        <v>933.91</v>
      </c>
      <c r="G172" s="21" t="inlineStr">
        <is>
          <t>Atrasado</t>
        </is>
      </c>
    </row>
    <row r="173" ht="18" customHeight="1">
      <c r="B173" s="18" t="n">
        <v>46264</v>
      </c>
      <c r="C173" s="11" t="inlineStr">
        <is>
          <t>Entrada - Cliente B</t>
        </is>
      </c>
      <c r="D173" s="13" t="inlineStr">
        <is>
          <t>Venda de Serviço</t>
        </is>
      </c>
      <c r="E173" s="22" t="inlineStr">
        <is>
          <t>Entrada</t>
        </is>
      </c>
      <c r="F173" s="20" t="n">
        <v>3207.45</v>
      </c>
      <c r="G173" s="21" t="inlineStr">
        <is>
          <t>Pago</t>
        </is>
      </c>
    </row>
    <row r="174" ht="18" customHeight="1">
      <c r="B174" s="18" t="n">
        <v>46264</v>
      </c>
      <c r="C174" s="11" t="inlineStr">
        <is>
          <t>Entrada - Cliente C</t>
        </is>
      </c>
      <c r="D174" s="13" t="inlineStr">
        <is>
          <t>Venda de Serviço</t>
        </is>
      </c>
      <c r="E174" s="22" t="inlineStr">
        <is>
          <t>Entrada</t>
        </is>
      </c>
      <c r="F174" s="20" t="n">
        <v>3426.23</v>
      </c>
      <c r="G174" s="21" t="inlineStr">
        <is>
          <t>Pendente</t>
        </is>
      </c>
    </row>
    <row r="175" ht="18" customHeight="1">
      <c r="B175" s="18" t="n">
        <v>46265</v>
      </c>
      <c r="C175" s="11" t="inlineStr">
        <is>
          <t>Entrada - Cliente C</t>
        </is>
      </c>
      <c r="D175" s="13" t="inlineStr">
        <is>
          <t>Venda de Serviço</t>
        </is>
      </c>
      <c r="E175" s="22" t="inlineStr">
        <is>
          <t>Entrada</t>
        </is>
      </c>
      <c r="F175" s="20" t="n">
        <v>3067.67</v>
      </c>
      <c r="G175" s="21" t="inlineStr">
        <is>
          <t>Pago</t>
        </is>
      </c>
    </row>
    <row r="176" ht="18" customHeight="1">
      <c r="B176" s="18" t="n">
        <v>46267</v>
      </c>
      <c r="C176" s="11" t="inlineStr">
        <is>
          <t>Saída - Fornecedor X</t>
        </is>
      </c>
      <c r="D176" s="13" t="inlineStr">
        <is>
          <t>Salário</t>
        </is>
      </c>
      <c r="E176" s="19" t="inlineStr">
        <is>
          <t>Saída</t>
        </is>
      </c>
      <c r="F176" s="20" t="n">
        <v>2551.77</v>
      </c>
      <c r="G176" s="21" t="inlineStr">
        <is>
          <t>Atrasado</t>
        </is>
      </c>
    </row>
    <row r="177" ht="18" customHeight="1">
      <c r="B177" s="18" t="n">
        <v>46269</v>
      </c>
      <c r="C177" s="11" t="inlineStr">
        <is>
          <t>Saída - Fornecedor X</t>
        </is>
      </c>
      <c r="D177" s="13" t="inlineStr">
        <is>
          <t>Marketing</t>
        </is>
      </c>
      <c r="E177" s="19" t="inlineStr">
        <is>
          <t>Saída</t>
        </is>
      </c>
      <c r="F177" s="20" t="n">
        <v>2801.17</v>
      </c>
      <c r="G177" s="21" t="inlineStr">
        <is>
          <t>Pago</t>
        </is>
      </c>
    </row>
    <row r="178" ht="18" customHeight="1">
      <c r="B178" s="18" t="n">
        <v>46269</v>
      </c>
      <c r="C178" s="11" t="inlineStr">
        <is>
          <t>Entrada - Cliente B</t>
        </is>
      </c>
      <c r="D178" s="13" t="inlineStr">
        <is>
          <t>Venda de Serviço</t>
        </is>
      </c>
      <c r="E178" s="22" t="inlineStr">
        <is>
          <t>Entrada</t>
        </is>
      </c>
      <c r="F178" s="20" t="n">
        <v>4065.15</v>
      </c>
      <c r="G178" s="21" t="inlineStr">
        <is>
          <t>Pago</t>
        </is>
      </c>
    </row>
    <row r="179" ht="18" customHeight="1">
      <c r="B179" s="18" t="n">
        <v>46270</v>
      </c>
      <c r="C179" s="11" t="inlineStr">
        <is>
          <t>Saída - Fornecedor Y</t>
        </is>
      </c>
      <c r="D179" s="13" t="inlineStr">
        <is>
          <t>Imposto</t>
        </is>
      </c>
      <c r="E179" s="19" t="inlineStr">
        <is>
          <t>Saída</t>
        </is>
      </c>
      <c r="F179" s="20" t="n">
        <v>2527.34</v>
      </c>
      <c r="G179" s="21" t="inlineStr">
        <is>
          <t>Atrasado</t>
        </is>
      </c>
    </row>
    <row r="180" ht="18" customHeight="1">
      <c r="B180" s="18" t="n">
        <v>46271</v>
      </c>
      <c r="C180" s="11" t="inlineStr">
        <is>
          <t>Saída - Fornecedor Y</t>
        </is>
      </c>
      <c r="D180" s="13" t="inlineStr">
        <is>
          <t>Salário</t>
        </is>
      </c>
      <c r="E180" s="19" t="inlineStr">
        <is>
          <t>Saída</t>
        </is>
      </c>
      <c r="F180" s="20" t="n">
        <v>3152.4</v>
      </c>
      <c r="G180" s="21" t="inlineStr">
        <is>
          <t>Atrasado</t>
        </is>
      </c>
    </row>
    <row r="181" ht="18" customHeight="1">
      <c r="B181" s="18" t="n">
        <v>46271</v>
      </c>
      <c r="C181" s="11" t="inlineStr">
        <is>
          <t>Saída - Fornecedor X</t>
        </is>
      </c>
      <c r="D181" s="13" t="inlineStr">
        <is>
          <t>Imposto</t>
        </is>
      </c>
      <c r="E181" s="19" t="inlineStr">
        <is>
          <t>Saída</t>
        </is>
      </c>
      <c r="F181" s="20" t="n">
        <v>958.27</v>
      </c>
      <c r="G181" s="21" t="inlineStr">
        <is>
          <t>Pendente</t>
        </is>
      </c>
    </row>
    <row r="182" ht="18" customHeight="1">
      <c r="B182" s="18" t="n">
        <v>46272</v>
      </c>
      <c r="C182" s="11" t="inlineStr">
        <is>
          <t>Entrada - Cliente A</t>
        </is>
      </c>
      <c r="D182" s="13" t="inlineStr">
        <is>
          <t>Venda de Serviço</t>
        </is>
      </c>
      <c r="E182" s="22" t="inlineStr">
        <is>
          <t>Entrada</t>
        </is>
      </c>
      <c r="F182" s="20" t="n">
        <v>4546.64</v>
      </c>
      <c r="G182" s="21" t="inlineStr">
        <is>
          <t>Pago</t>
        </is>
      </c>
    </row>
    <row r="183" ht="18" customHeight="1">
      <c r="B183" s="18" t="n">
        <v>46272</v>
      </c>
      <c r="C183" s="11" t="inlineStr">
        <is>
          <t>Entrada - Cliente A</t>
        </is>
      </c>
      <c r="D183" s="13" t="inlineStr">
        <is>
          <t>Venda de Serviço</t>
        </is>
      </c>
      <c r="E183" s="22" t="inlineStr">
        <is>
          <t>Entrada</t>
        </is>
      </c>
      <c r="F183" s="20" t="n">
        <v>2962.78</v>
      </c>
      <c r="G183" s="21" t="inlineStr">
        <is>
          <t>Atrasado</t>
        </is>
      </c>
    </row>
    <row r="184" ht="18" customHeight="1">
      <c r="B184" s="18" t="n">
        <v>46272</v>
      </c>
      <c r="C184" s="11" t="inlineStr">
        <is>
          <t>Saída - Fornecedor Y</t>
        </is>
      </c>
      <c r="D184" s="13" t="inlineStr">
        <is>
          <t>Manutenção</t>
        </is>
      </c>
      <c r="E184" s="19" t="inlineStr">
        <is>
          <t>Saída</t>
        </is>
      </c>
      <c r="F184" s="20" t="n">
        <v>3549.43</v>
      </c>
      <c r="G184" s="21" t="inlineStr">
        <is>
          <t>Atrasado</t>
        </is>
      </c>
    </row>
    <row r="185" ht="18" customHeight="1">
      <c r="B185" s="18" t="n">
        <v>46273</v>
      </c>
      <c r="C185" s="11" t="inlineStr">
        <is>
          <t>Entrada - Cliente B</t>
        </is>
      </c>
      <c r="D185" s="13" t="inlineStr">
        <is>
          <t>Venda de Serviço</t>
        </is>
      </c>
      <c r="E185" s="22" t="inlineStr">
        <is>
          <t>Entrada</t>
        </is>
      </c>
      <c r="F185" s="20" t="n">
        <v>473.98</v>
      </c>
      <c r="G185" s="21" t="inlineStr">
        <is>
          <t>Atrasado</t>
        </is>
      </c>
    </row>
    <row r="186" ht="18" customHeight="1">
      <c r="B186" s="18" t="n">
        <v>46274</v>
      </c>
      <c r="C186" s="11" t="inlineStr">
        <is>
          <t>Saída - Fornecedor X</t>
        </is>
      </c>
      <c r="D186" s="13" t="inlineStr">
        <is>
          <t>Imposto</t>
        </is>
      </c>
      <c r="E186" s="19" t="inlineStr">
        <is>
          <t>Saída</t>
        </is>
      </c>
      <c r="F186" s="20" t="n">
        <v>4708.26</v>
      </c>
      <c r="G186" s="21" t="inlineStr">
        <is>
          <t>Pendente</t>
        </is>
      </c>
    </row>
    <row r="187" ht="18" customHeight="1">
      <c r="B187" s="18" t="n">
        <v>46276</v>
      </c>
      <c r="C187" s="11" t="inlineStr">
        <is>
          <t>Saída - Fornecedor X</t>
        </is>
      </c>
      <c r="D187" s="13" t="inlineStr">
        <is>
          <t>Salário</t>
        </is>
      </c>
      <c r="E187" s="19" t="inlineStr">
        <is>
          <t>Saída</t>
        </is>
      </c>
      <c r="F187" s="20" t="n">
        <v>4399.67</v>
      </c>
      <c r="G187" s="21" t="inlineStr">
        <is>
          <t>Pago</t>
        </is>
      </c>
    </row>
    <row r="188" ht="18" customHeight="1">
      <c r="B188" s="18" t="n">
        <v>46276</v>
      </c>
      <c r="C188" s="11" t="inlineStr">
        <is>
          <t>Saída - Fornecedor X</t>
        </is>
      </c>
      <c r="D188" s="13" t="inlineStr">
        <is>
          <t>Salário</t>
        </is>
      </c>
      <c r="E188" s="19" t="inlineStr">
        <is>
          <t>Saída</t>
        </is>
      </c>
      <c r="F188" s="20" t="n">
        <v>816.24</v>
      </c>
      <c r="G188" s="21" t="inlineStr">
        <is>
          <t>Atrasado</t>
        </is>
      </c>
    </row>
    <row r="189" ht="18" customHeight="1">
      <c r="B189" s="18" t="n">
        <v>46276</v>
      </c>
      <c r="C189" s="11" t="inlineStr">
        <is>
          <t>Saída - Fornecedor X</t>
        </is>
      </c>
      <c r="D189" s="13" t="inlineStr">
        <is>
          <t>Marketing</t>
        </is>
      </c>
      <c r="E189" s="19" t="inlineStr">
        <is>
          <t>Saída</t>
        </is>
      </c>
      <c r="F189" s="20" t="n">
        <v>2539.11</v>
      </c>
      <c r="G189" s="21" t="inlineStr">
        <is>
          <t>Atrasado</t>
        </is>
      </c>
    </row>
    <row r="190" ht="18" customHeight="1">
      <c r="B190" s="18" t="n">
        <v>46277</v>
      </c>
      <c r="C190" s="11" t="inlineStr">
        <is>
          <t>Saída - Fornecedor Z</t>
        </is>
      </c>
      <c r="D190" s="13" t="inlineStr">
        <is>
          <t>Manutenção</t>
        </is>
      </c>
      <c r="E190" s="19" t="inlineStr">
        <is>
          <t>Saída</t>
        </is>
      </c>
      <c r="F190" s="20" t="n">
        <v>416.71</v>
      </c>
      <c r="G190" s="21" t="inlineStr">
        <is>
          <t>Pago</t>
        </is>
      </c>
    </row>
    <row r="191" ht="18" customHeight="1">
      <c r="B191" s="18" t="n">
        <v>46278</v>
      </c>
      <c r="C191" s="11" t="inlineStr">
        <is>
          <t>Entrada - Cliente A</t>
        </is>
      </c>
      <c r="D191" s="13" t="inlineStr">
        <is>
          <t>Venda de Serviço</t>
        </is>
      </c>
      <c r="E191" s="22" t="inlineStr">
        <is>
          <t>Entrada</t>
        </is>
      </c>
      <c r="F191" s="20" t="n">
        <v>3752.48</v>
      </c>
      <c r="G191" s="21" t="inlineStr">
        <is>
          <t>Atrasado</t>
        </is>
      </c>
    </row>
    <row r="192" ht="18" customHeight="1">
      <c r="B192" s="18" t="n">
        <v>46279</v>
      </c>
      <c r="C192" s="11" t="inlineStr">
        <is>
          <t>Entrada - Cliente B</t>
        </is>
      </c>
      <c r="D192" s="13" t="inlineStr">
        <is>
          <t>Venda de Serviço</t>
        </is>
      </c>
      <c r="E192" s="22" t="inlineStr">
        <is>
          <t>Entrada</t>
        </is>
      </c>
      <c r="F192" s="20" t="n">
        <v>4287.26</v>
      </c>
      <c r="G192" s="21" t="inlineStr">
        <is>
          <t>Pendente</t>
        </is>
      </c>
    </row>
    <row r="193" ht="18" customHeight="1">
      <c r="B193" s="18" t="n">
        <v>46280</v>
      </c>
      <c r="C193" s="11" t="inlineStr">
        <is>
          <t>Entrada - Cliente C</t>
        </is>
      </c>
      <c r="D193" s="13" t="inlineStr">
        <is>
          <t>Venda de Serviço</t>
        </is>
      </c>
      <c r="E193" s="22" t="inlineStr">
        <is>
          <t>Entrada</t>
        </is>
      </c>
      <c r="F193" s="20" t="n">
        <v>3991.32</v>
      </c>
      <c r="G193" s="21" t="inlineStr">
        <is>
          <t>Não informado</t>
        </is>
      </c>
    </row>
    <row r="194" ht="18" customHeight="1">
      <c r="B194" s="18" t="n">
        <v>46280</v>
      </c>
      <c r="C194" s="11" t="inlineStr">
        <is>
          <t>Saída - Fornecedor Z</t>
        </is>
      </c>
      <c r="D194" s="13" t="inlineStr">
        <is>
          <t>Aluguel</t>
        </is>
      </c>
      <c r="E194" s="19" t="inlineStr">
        <is>
          <t>Saída</t>
        </is>
      </c>
      <c r="F194" s="20" t="n">
        <v>1159.9</v>
      </c>
      <c r="G194" s="21" t="inlineStr">
        <is>
          <t>Pago</t>
        </is>
      </c>
    </row>
    <row r="195" ht="18" customHeight="1">
      <c r="B195" s="18" t="n">
        <v>46280</v>
      </c>
      <c r="C195" s="11" t="inlineStr">
        <is>
          <t>Saída - Fornecedor Y</t>
        </is>
      </c>
      <c r="D195" s="13" t="inlineStr">
        <is>
          <t>Salário</t>
        </is>
      </c>
      <c r="E195" s="19" t="inlineStr">
        <is>
          <t>Saída</t>
        </is>
      </c>
      <c r="F195" s="20" t="n">
        <v>680.86</v>
      </c>
      <c r="G195" s="21" t="inlineStr">
        <is>
          <t>Pendente</t>
        </is>
      </c>
    </row>
    <row r="196" ht="18" customHeight="1">
      <c r="B196" s="18" t="n">
        <v>46281</v>
      </c>
      <c r="C196" s="11" t="inlineStr">
        <is>
          <t>Saída - Fornecedor Z</t>
        </is>
      </c>
      <c r="D196" s="13" t="inlineStr">
        <is>
          <t>Imposto</t>
        </is>
      </c>
      <c r="E196" s="19" t="inlineStr">
        <is>
          <t>Saída</t>
        </is>
      </c>
      <c r="F196" s="20" t="n">
        <v>1476.68</v>
      </c>
      <c r="G196" s="21" t="inlineStr">
        <is>
          <t>Não informado</t>
        </is>
      </c>
    </row>
    <row r="197" ht="18" customHeight="1">
      <c r="B197" s="18" t="n">
        <v>46281</v>
      </c>
      <c r="C197" s="11" t="inlineStr">
        <is>
          <t>Saída - Fornecedor Z</t>
        </is>
      </c>
      <c r="D197" s="13" t="inlineStr">
        <is>
          <t>Imposto</t>
        </is>
      </c>
      <c r="E197" s="19" t="inlineStr">
        <is>
          <t>Saída</t>
        </is>
      </c>
      <c r="F197" s="20" t="n">
        <v>3152.66</v>
      </c>
      <c r="G197" s="21" t="inlineStr">
        <is>
          <t>Atrasado</t>
        </is>
      </c>
    </row>
    <row r="198" ht="18" customHeight="1">
      <c r="B198" s="18" t="n">
        <v>46282</v>
      </c>
      <c r="C198" s="11" t="inlineStr">
        <is>
          <t>Saída - Fornecedor Y</t>
        </is>
      </c>
      <c r="D198" s="13" t="inlineStr">
        <is>
          <t>Imposto</t>
        </is>
      </c>
      <c r="E198" s="19" t="inlineStr">
        <is>
          <t>Saída</t>
        </is>
      </c>
      <c r="F198" s="20" t="n">
        <v>3462.39</v>
      </c>
      <c r="G198" s="21" t="inlineStr">
        <is>
          <t>Pago</t>
        </is>
      </c>
    </row>
    <row r="199" ht="18" customHeight="1">
      <c r="B199" s="18" t="n">
        <v>46283</v>
      </c>
      <c r="C199" s="11" t="inlineStr">
        <is>
          <t>Saída - Fornecedor Y</t>
        </is>
      </c>
      <c r="D199" s="13" t="inlineStr">
        <is>
          <t>Marketing</t>
        </is>
      </c>
      <c r="E199" s="19" t="inlineStr">
        <is>
          <t>Saída</t>
        </is>
      </c>
      <c r="F199" s="20" t="n">
        <v>3413.61</v>
      </c>
      <c r="G199" s="21" t="inlineStr">
        <is>
          <t>Pago</t>
        </is>
      </c>
    </row>
    <row r="200" ht="18" customHeight="1">
      <c r="B200" s="18" t="n">
        <v>46286</v>
      </c>
      <c r="C200" s="11" t="inlineStr">
        <is>
          <t>Entrada - Cliente B</t>
        </is>
      </c>
      <c r="D200" s="13" t="inlineStr">
        <is>
          <t>Venda de Serviço</t>
        </is>
      </c>
      <c r="E200" s="22" t="inlineStr">
        <is>
          <t>Entrada</t>
        </is>
      </c>
      <c r="F200" s="20" t="n">
        <v>3014.78</v>
      </c>
      <c r="G200" s="21" t="inlineStr">
        <is>
          <t>Pago</t>
        </is>
      </c>
    </row>
    <row r="201" ht="18" customHeight="1">
      <c r="B201" s="18" t="n">
        <v>46287</v>
      </c>
      <c r="C201" s="11" t="inlineStr">
        <is>
          <t>Entrada - Cliente C</t>
        </is>
      </c>
      <c r="D201" s="13" t="inlineStr">
        <is>
          <t>Venda de Serviço</t>
        </is>
      </c>
      <c r="E201" s="22" t="inlineStr">
        <is>
          <t>Entrada</t>
        </is>
      </c>
      <c r="F201" s="20" t="n">
        <v>300.41</v>
      </c>
      <c r="G201" s="21" t="inlineStr">
        <is>
          <t>Pago</t>
        </is>
      </c>
    </row>
    <row r="202" ht="18" customHeight="1">
      <c r="B202" s="18" t="n">
        <v>46289</v>
      </c>
      <c r="C202" s="11" t="inlineStr">
        <is>
          <t>Saída - Fornecedor Y</t>
        </is>
      </c>
      <c r="D202" s="13" t="inlineStr">
        <is>
          <t>Marketing</t>
        </is>
      </c>
      <c r="E202" s="19" t="inlineStr">
        <is>
          <t>Saída</t>
        </is>
      </c>
      <c r="F202" s="20" t="n">
        <v>1141.18</v>
      </c>
      <c r="G202" s="21" t="inlineStr">
        <is>
          <t>Pago</t>
        </is>
      </c>
    </row>
    <row r="203" ht="18" customHeight="1">
      <c r="B203" s="18" t="n">
        <v>46290</v>
      </c>
      <c r="C203" s="11" t="inlineStr">
        <is>
          <t>Saída - Fornecedor Y</t>
        </is>
      </c>
      <c r="D203" s="13" t="inlineStr">
        <is>
          <t>Fornecedor</t>
        </is>
      </c>
      <c r="E203" s="19" t="inlineStr">
        <is>
          <t>Saída</t>
        </is>
      </c>
      <c r="F203" s="20" t="n">
        <v>4517.09</v>
      </c>
      <c r="G203" s="21" t="inlineStr">
        <is>
          <t>Pendente</t>
        </is>
      </c>
    </row>
    <row r="204" ht="18" customHeight="1">
      <c r="B204" s="18" t="n">
        <v>46290</v>
      </c>
      <c r="C204" s="11" t="inlineStr">
        <is>
          <t>Entrada - Cliente A</t>
        </is>
      </c>
      <c r="D204" s="13" t="inlineStr">
        <is>
          <t>Venda de Serviço</t>
        </is>
      </c>
      <c r="E204" s="22" t="inlineStr">
        <is>
          <t>Entrada</t>
        </is>
      </c>
      <c r="F204" s="20" t="n">
        <v>2782.36</v>
      </c>
      <c r="G204" s="21" t="inlineStr">
        <is>
          <t>Pendente</t>
        </is>
      </c>
    </row>
  </sheetData>
  <autoFilter ref="B4:G204"/>
  <conditionalFormatting sqref="G5:G204">
    <cfRule type="cellIs" priority="1" operator="equal" dxfId="0">
      <formula>"Pago"</formula>
    </cfRule>
    <cfRule type="cellIs" priority="2" operator="equal" dxfId="1">
      <formula>"Pendente"</formula>
    </cfRule>
    <cfRule type="cellIs" priority="3" operator="equal" dxfId="2">
      <formula>"Atrasado"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F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7" customWidth="1" min="3" max="3"/>
    <col width="17" customWidth="1" min="4" max="4"/>
    <col width="17" customWidth="1" min="5" max="5"/>
    <col width="20" customWidth="1" min="6" max="6"/>
  </cols>
  <sheetData>
    <row r="1" ht="28" customHeight="1">
      <c r="B1" s="1" t="inlineStr">
        <is>
          <t>Fluxo de caixa mensal</t>
        </is>
      </c>
    </row>
    <row r="2" ht="18" customHeight="1">
      <c r="B2" s="2" t="inlineStr">
        <is>
          <t>mar/2026 a set/2026 · regime de caixa: só transações com status Pago (pendentes e atrasadas estão em Contas a Pagar e Receber)</t>
        </is>
      </c>
    </row>
    <row r="3" ht="10" customHeight="1"/>
    <row r="4" ht="26" customHeight="1">
      <c r="B4" s="15" t="inlineStr">
        <is>
          <t>Mês</t>
        </is>
      </c>
      <c r="C4" s="16" t="inlineStr">
        <is>
          <t>Entradas</t>
        </is>
      </c>
      <c r="D4" s="16" t="inlineStr">
        <is>
          <t>Saídas</t>
        </is>
      </c>
      <c r="E4" s="16" t="inlineStr">
        <is>
          <t>Saldo do mês</t>
        </is>
      </c>
      <c r="F4" s="16" t="inlineStr">
        <is>
          <t>Saldo acumulado</t>
        </is>
      </c>
    </row>
    <row r="5" ht="20" customHeight="1">
      <c r="B5" s="23" t="n">
        <v>46082</v>
      </c>
      <c r="C5" s="24">
        <f>SUMIFS(Dados!$F$5:$F$204,Dados!$E$5:$E$204,"Entrada",Dados!$G$5:$G$204,"Pago",Dados!$B$5:$B$204,"&gt;="&amp;B5,Dados!$B$5:$B$204,"&lt;"&amp;EDATE(B5,1))</f>
        <v>0.0</v>
      </c>
      <c r="D5" s="25">
        <f>SUMIFS(Dados!$F$5:$F$204,Dados!$E$5:$E$204,"Saída",Dados!$G$5:$G$204,"Pago",Dados!$B$5:$B$204,"&gt;="&amp;B5,Dados!$B$5:$B$204,"&lt;"&amp;EDATE(B5,1))</f>
        <v>0.0</v>
      </c>
      <c r="E5" s="26">
        <f>C5-D5</f>
        <v>0.0</v>
      </c>
      <c r="F5" s="20">
        <f>E5</f>
        <v>0.0</v>
      </c>
    </row>
    <row r="6" ht="20" customHeight="1">
      <c r="B6" s="23" t="n">
        <v>46113</v>
      </c>
      <c r="C6" s="24">
        <f>SUMIFS(Dados!$F$5:$F$204,Dados!$E$5:$E$204,"Entrada",Dados!$G$5:$G$204,"Pago",Dados!$B$5:$B$204,"&gt;="&amp;B6,Dados!$B$5:$B$204,"&lt;"&amp;EDATE(B6,1))</f>
        <v>17510.88</v>
      </c>
      <c r="D6" s="25">
        <f>SUMIFS(Dados!$F$5:$F$204,Dados!$E$5:$E$204,"Saída",Dados!$G$5:$G$204,"Pago",Dados!$B$5:$B$204,"&gt;="&amp;B6,Dados!$B$5:$B$204,"&lt;"&amp;EDATE(B6,1))</f>
        <v>3978.99</v>
      </c>
      <c r="E6" s="26">
        <f>C6-D6</f>
        <v>13531.89</v>
      </c>
      <c r="F6" s="20">
        <f>F5+E6</f>
        <v>13531.89</v>
      </c>
    </row>
    <row r="7" ht="20" customHeight="1">
      <c r="B7" s="23" t="n">
        <v>46143</v>
      </c>
      <c r="C7" s="24">
        <f>SUMIFS(Dados!$F$5:$F$204,Dados!$E$5:$E$204,"Entrada",Dados!$G$5:$G$204,"Pago",Dados!$B$5:$B$204,"&gt;="&amp;B7,Dados!$B$5:$B$204,"&lt;"&amp;EDATE(B7,1))</f>
        <v>13227.69</v>
      </c>
      <c r="D7" s="25">
        <f>SUMIFS(Dados!$F$5:$F$204,Dados!$E$5:$E$204,"Saída",Dados!$G$5:$G$204,"Pago",Dados!$B$5:$B$204,"&gt;="&amp;B7,Dados!$B$5:$B$204,"&lt;"&amp;EDATE(B7,1))</f>
        <v>9067.97</v>
      </c>
      <c r="E7" s="26">
        <f>C7-D7</f>
        <v>4159.72</v>
      </c>
      <c r="F7" s="20">
        <f>F6+E7</f>
        <v>17691.61</v>
      </c>
    </row>
    <row r="8" ht="20" customHeight="1">
      <c r="B8" s="23" t="n">
        <v>46174</v>
      </c>
      <c r="C8" s="24">
        <f>SUMIFS(Dados!$F$5:$F$204,Dados!$E$5:$E$204,"Entrada",Dados!$G$5:$G$204,"Pago",Dados!$B$5:$B$204,"&gt;="&amp;B8,Dados!$B$5:$B$204,"&lt;"&amp;EDATE(B8,1))</f>
        <v>10106.95</v>
      </c>
      <c r="D8" s="25">
        <f>SUMIFS(Dados!$F$5:$F$204,Dados!$E$5:$E$204,"Saída",Dados!$G$5:$G$204,"Pago",Dados!$B$5:$B$204,"&gt;="&amp;B8,Dados!$B$5:$B$204,"&lt;"&amp;EDATE(B8,1))</f>
        <v>0.0</v>
      </c>
      <c r="E8" s="26">
        <f>C8-D8</f>
        <v>10106.95</v>
      </c>
      <c r="F8" s="20">
        <f>F7+E8</f>
        <v>27798.56</v>
      </c>
    </row>
    <row r="9" ht="20" customHeight="1">
      <c r="B9" s="23" t="n">
        <v>46204</v>
      </c>
      <c r="C9" s="24">
        <f>SUMIFS(Dados!$F$5:$F$204,Dados!$E$5:$E$204,"Entrada",Dados!$G$5:$G$204,"Pago",Dados!$B$5:$B$204,"&gt;="&amp;B9,Dados!$B$5:$B$204,"&lt;"&amp;EDATE(B9,1))</f>
        <v>15254.72</v>
      </c>
      <c r="D9" s="25">
        <f>SUMIFS(Dados!$F$5:$F$204,Dados!$E$5:$E$204,"Saída",Dados!$G$5:$G$204,"Pago",Dados!$B$5:$B$204,"&gt;="&amp;B9,Dados!$B$5:$B$204,"&lt;"&amp;EDATE(B9,1))</f>
        <v>24986.93</v>
      </c>
      <c r="E9" s="26">
        <f>C9-D9</f>
        <v>-9732.21</v>
      </c>
      <c r="F9" s="20">
        <f>F8+E9</f>
        <v>18066.35</v>
      </c>
    </row>
    <row r="10" ht="20" customHeight="1">
      <c r="B10" s="23" t="n">
        <v>46235</v>
      </c>
      <c r="C10" s="24">
        <f>SUMIFS(Dados!$F$5:$F$204,Dados!$E$5:$E$204,"Entrada",Dados!$G$5:$G$204,"Pago",Dados!$B$5:$B$204,"&gt;="&amp;B10,Dados!$B$5:$B$204,"&lt;"&amp;EDATE(B10,1))</f>
        <v>14949.33</v>
      </c>
      <c r="D10" s="25">
        <f>SUMIFS(Dados!$F$5:$F$204,Dados!$E$5:$E$204,"Saída",Dados!$G$5:$G$204,"Pago",Dados!$B$5:$B$204,"&gt;="&amp;B10,Dados!$B$5:$B$204,"&lt;"&amp;EDATE(B10,1))</f>
        <v>6810.78</v>
      </c>
      <c r="E10" s="26">
        <f>C10-D10</f>
        <v>8138.55</v>
      </c>
      <c r="F10" s="20">
        <f>F9+E10</f>
        <v>26204.9</v>
      </c>
    </row>
    <row r="11" ht="20" customHeight="1">
      <c r="B11" s="23" t="n">
        <v>46266</v>
      </c>
      <c r="C11" s="24">
        <f>SUMIFS(Dados!$F$5:$F$204,Dados!$E$5:$E$204,"Entrada",Dados!$G$5:$G$204,"Pago",Dados!$B$5:$B$204,"&gt;="&amp;B11,Dados!$B$5:$B$204,"&lt;"&amp;EDATE(B11,1))</f>
        <v>11926.98</v>
      </c>
      <c r="D11" s="25">
        <f>SUMIFS(Dados!$F$5:$F$204,Dados!$E$5:$E$204,"Saída",Dados!$G$5:$G$204,"Pago",Dados!$B$5:$B$204,"&gt;="&amp;B11,Dados!$B$5:$B$204,"&lt;"&amp;EDATE(B11,1))</f>
        <v>16794.63</v>
      </c>
      <c r="E11" s="26">
        <f>C11-D11</f>
        <v>-4867.65</v>
      </c>
      <c r="F11" s="20">
        <f>F10+E11</f>
        <v>21337.25</v>
      </c>
    </row>
    <row r="12" ht="22" customHeight="1">
      <c r="B12" s="27" t="inlineStr">
        <is>
          <t>Total</t>
        </is>
      </c>
      <c r="C12" s="28">
        <f>SUM(C5:C11)</f>
        <v>82976.55</v>
      </c>
      <c r="D12" s="28">
        <f>SUM(D5:D11)</f>
        <v>61639.3</v>
      </c>
      <c r="E12" s="28">
        <f>SUM(E5:E11)</f>
        <v>21337.25</v>
      </c>
      <c r="F12" s="29" t="n"/>
    </row>
    <row r="14" ht="22" customHeight="1">
      <c r="B14" s="9" t="inlineStr">
        <is>
          <t>Entradas x saídas por mês</t>
        </is>
      </c>
      <c r="C14" s="10" t="n"/>
      <c r="D14" s="10" t="n"/>
      <c r="E14" s="10" t="n"/>
      <c r="F14" s="10" t="n"/>
    </row>
    <row r="32" ht="22" customHeight="1">
      <c r="B32" s="9" t="inlineStr">
        <is>
          <t>Saldo acumulado</t>
        </is>
      </c>
      <c r="C32" s="10" t="n"/>
      <c r="D32" s="10" t="n"/>
      <c r="E32" s="10" t="n"/>
      <c r="F32" s="10" t="n"/>
    </row>
  </sheetData>
  <conditionalFormatting sqref="E5:E11">
    <cfRule type="cellIs" priority="1" operator="lessThan" dxfId="3">
      <formula>0</formula>
    </cfRule>
    <cfRule type="cellIs" priority="2" operator="greaterThanOrEqual" dxfId="4">
      <formula>0</formula>
    </cfRule>
  </conditionalFormatting>
  <conditionalFormatting sqref="E12">
    <cfRule type="cellIs" priority="3" operator="lessThan" dxfId="3">
      <formula>0</formula>
    </cfRule>
    <cfRule type="cellIs" priority="4" operator="greaterThanOrEqual" dxfId="4">
      <formula>0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1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20" customWidth="1" min="4" max="4"/>
    <col width="16" customWidth="1" min="5" max="5"/>
    <col width="16" customWidth="1" min="6" max="6"/>
  </cols>
  <sheetData>
    <row r="1" ht="28" customHeight="1">
      <c r="B1" s="1" t="inlineStr">
        <is>
          <t>Contas a pagar e receber</t>
        </is>
      </c>
    </row>
    <row r="2" ht="18" customHeight="1">
      <c r="B2" s="2" t="inlineStr">
        <is>
          <t>Transações com status Pendente ou Atrasado — o que ainda vai entrar e sair do caixa</t>
        </is>
      </c>
    </row>
    <row r="3" ht="10" customHeight="1"/>
    <row r="4" ht="26" customHeight="1">
      <c r="B4" s="15" t="inlineStr">
        <is>
          <t>Em aberto</t>
        </is>
      </c>
      <c r="D4" s="16" t="inlineStr">
        <is>
          <t>Pendente</t>
        </is>
      </c>
      <c r="E4" s="16" t="inlineStr">
        <is>
          <t>Atrasado</t>
        </is>
      </c>
      <c r="F4" s="16" t="inlineStr">
        <is>
          <t>Total</t>
        </is>
      </c>
    </row>
    <row r="5" ht="22" customHeight="1">
      <c r="B5" s="11" t="inlineStr">
        <is>
          <t>A receber (entradas)</t>
        </is>
      </c>
      <c r="C5" s="30" t="n"/>
      <c r="D5" s="31">
        <f>SUMIFS(Dados!$F$5:$F$204,Dados!$E$5:$E$204,"Entrada",Dados!$G$5:$G$204,"Pendente")</f>
        <v>86550.82</v>
      </c>
      <c r="E5" s="32">
        <f>SUMIFS(Dados!$F$5:$F$204,Dados!$E$5:$E$204,"Entrada",Dados!$G$5:$G$204,"Atrasado")</f>
        <v>113162.08</v>
      </c>
      <c r="F5" s="33">
        <f>D5+E5</f>
        <v>199712.9</v>
      </c>
    </row>
    <row r="6" ht="22" customHeight="1">
      <c r="B6" s="11" t="inlineStr">
        <is>
          <t>A pagar (saídas)</t>
        </is>
      </c>
      <c r="C6" s="30" t="n"/>
      <c r="D6" s="31">
        <f>SUMIFS(Dados!$F$5:$F$204,Dados!$E$5:$E$204,"Saída",Dados!$G$5:$G$204,"Pendente")</f>
        <v>84201.8</v>
      </c>
      <c r="E6" s="32">
        <f>SUMIFS(Dados!$F$5:$F$204,Dados!$E$5:$E$204,"Saída",Dados!$G$5:$G$204,"Atrasado")</f>
        <v>93485.36</v>
      </c>
      <c r="F6" s="34">
        <f>D6+E6</f>
        <v>177687.16</v>
      </c>
    </row>
    <row r="7" ht="24" customHeight="1">
      <c r="B7" s="27" t="inlineStr">
        <is>
          <t>Saldo em aberto (receber − pagar)</t>
        </is>
      </c>
      <c r="C7" s="35" t="n"/>
      <c r="D7" s="29" t="n"/>
      <c r="E7" s="29" t="n"/>
      <c r="F7" s="36">
        <f>F5-F6</f>
        <v>22025.74</v>
      </c>
    </row>
    <row r="10" ht="22" customHeight="1">
      <c r="B10" s="9" t="inlineStr">
        <is>
          <t>Contas a receber em aberto (72)</t>
        </is>
      </c>
      <c r="C10" s="10" t="n"/>
      <c r="D10" s="10" t="n"/>
      <c r="E10" s="10" t="n"/>
      <c r="F10" s="10" t="n"/>
    </row>
    <row r="11" ht="26" customHeight="1">
      <c r="B11" s="15" t="inlineStr">
        <is>
          <t>Data</t>
        </is>
      </c>
      <c r="C11" s="15" t="inlineStr">
        <is>
          <t>Descrição</t>
        </is>
      </c>
      <c r="D11" s="15" t="inlineStr">
        <is>
          <t>Categoria</t>
        </is>
      </c>
      <c r="E11" s="16" t="inlineStr">
        <is>
          <t>Valor</t>
        </is>
      </c>
      <c r="F11" s="17" t="inlineStr">
        <is>
          <t>Status</t>
        </is>
      </c>
    </row>
    <row r="12" ht="18" customHeight="1">
      <c r="B12" s="18" t="n">
        <v>46115</v>
      </c>
      <c r="C12" s="11" t="inlineStr">
        <is>
          <t>Entrada - Cliente A</t>
        </is>
      </c>
      <c r="D12" s="13" t="inlineStr">
        <is>
          <t>Venda de Serviço</t>
        </is>
      </c>
      <c r="E12" s="24" t="n">
        <v>3602.18</v>
      </c>
      <c r="F12" s="21" t="inlineStr">
        <is>
          <t>Atrasado</t>
        </is>
      </c>
    </row>
    <row r="13" ht="18" customHeight="1">
      <c r="B13" s="18" t="n">
        <v>46115</v>
      </c>
      <c r="C13" s="11" t="inlineStr">
        <is>
          <t>Entrada - Cliente B</t>
        </is>
      </c>
      <c r="D13" s="13" t="inlineStr">
        <is>
          <t>Venda de Serviço</t>
        </is>
      </c>
      <c r="E13" s="24" t="n">
        <v>554.41</v>
      </c>
      <c r="F13" s="21" t="inlineStr">
        <is>
          <t>Atrasado</t>
        </is>
      </c>
    </row>
    <row r="14" ht="18" customHeight="1">
      <c r="B14" s="18" t="n">
        <v>46116</v>
      </c>
      <c r="C14" s="11" t="inlineStr">
        <is>
          <t>Entrada - Cliente C</t>
        </is>
      </c>
      <c r="D14" s="13" t="inlineStr">
        <is>
          <t>Venda de Serviço</t>
        </is>
      </c>
      <c r="E14" s="24" t="n">
        <v>3367.37</v>
      </c>
      <c r="F14" s="21" t="inlineStr">
        <is>
          <t>Atrasado</t>
        </is>
      </c>
    </row>
    <row r="15" ht="18" customHeight="1">
      <c r="B15" s="18" t="n">
        <v>46116</v>
      </c>
      <c r="C15" s="11" t="inlineStr">
        <is>
          <t>Entrada - Cliente A</t>
        </is>
      </c>
      <c r="D15" s="13" t="inlineStr">
        <is>
          <t>Venda de Serviço</t>
        </is>
      </c>
      <c r="E15" s="24" t="n">
        <v>3417.4</v>
      </c>
      <c r="F15" s="21" t="inlineStr">
        <is>
          <t>Atrasado</t>
        </is>
      </c>
    </row>
    <row r="16" ht="18" customHeight="1">
      <c r="B16" s="18" t="n">
        <v>46117</v>
      </c>
      <c r="C16" s="11" t="inlineStr">
        <is>
          <t>Entrada - Cliente C</t>
        </is>
      </c>
      <c r="D16" s="13" t="inlineStr">
        <is>
          <t>Venda de Serviço</t>
        </is>
      </c>
      <c r="E16" s="24" t="n">
        <v>1974.84</v>
      </c>
      <c r="F16" s="21" t="inlineStr">
        <is>
          <t>Pendente</t>
        </is>
      </c>
    </row>
    <row r="17" ht="18" customHeight="1">
      <c r="B17" s="18" t="n">
        <v>46117</v>
      </c>
      <c r="C17" s="11" t="inlineStr">
        <is>
          <t>Entrada - Cliente C</t>
        </is>
      </c>
      <c r="D17" s="13" t="inlineStr">
        <is>
          <t>Venda de Serviço</t>
        </is>
      </c>
      <c r="E17" s="24" t="n">
        <v>4647.99</v>
      </c>
      <c r="F17" s="21" t="inlineStr">
        <is>
          <t>Pendente</t>
        </is>
      </c>
    </row>
    <row r="18" ht="18" customHeight="1">
      <c r="B18" s="18" t="n">
        <v>46119</v>
      </c>
      <c r="C18" s="11" t="inlineStr">
        <is>
          <t>Entrada - Cliente B</t>
        </is>
      </c>
      <c r="D18" s="13" t="inlineStr">
        <is>
          <t>Venda de Serviço</t>
        </is>
      </c>
      <c r="E18" s="24" t="n">
        <v>3579.1</v>
      </c>
      <c r="F18" s="21" t="inlineStr">
        <is>
          <t>Atrasado</t>
        </is>
      </c>
    </row>
    <row r="19" ht="18" customHeight="1">
      <c r="B19" s="18" t="n">
        <v>46120</v>
      </c>
      <c r="C19" s="11" t="inlineStr">
        <is>
          <t>Entrada - Cliente A</t>
        </is>
      </c>
      <c r="D19" s="13" t="inlineStr">
        <is>
          <t>Venda de Serviço</t>
        </is>
      </c>
      <c r="E19" s="24" t="n">
        <v>1852.9</v>
      </c>
      <c r="F19" s="21" t="inlineStr">
        <is>
          <t>Pendente</t>
        </is>
      </c>
    </row>
    <row r="20" ht="18" customHeight="1">
      <c r="B20" s="18" t="n">
        <v>46122</v>
      </c>
      <c r="C20" s="11" t="inlineStr">
        <is>
          <t>Entrada - Cliente B</t>
        </is>
      </c>
      <c r="D20" s="13" t="inlineStr">
        <is>
          <t>Venda de Serviço</t>
        </is>
      </c>
      <c r="E20" s="24" t="n">
        <v>3115.94</v>
      </c>
      <c r="F20" s="21" t="inlineStr">
        <is>
          <t>Atrasado</t>
        </is>
      </c>
    </row>
    <row r="21" ht="18" customHeight="1">
      <c r="B21" s="18" t="n">
        <v>46124</v>
      </c>
      <c r="C21" s="11" t="inlineStr">
        <is>
          <t>Entrada - Cliente C</t>
        </is>
      </c>
      <c r="D21" s="13" t="inlineStr">
        <is>
          <t>Venda de Serviço</t>
        </is>
      </c>
      <c r="E21" s="24" t="n">
        <v>2828.16</v>
      </c>
      <c r="F21" s="21" t="inlineStr">
        <is>
          <t>Atrasado</t>
        </is>
      </c>
    </row>
    <row r="22" ht="18" customHeight="1">
      <c r="B22" s="18" t="n">
        <v>46130</v>
      </c>
      <c r="C22" s="11" t="inlineStr">
        <is>
          <t>Entrada - Cliente A</t>
        </is>
      </c>
      <c r="D22" s="13" t="inlineStr">
        <is>
          <t>Venda de Serviço</t>
        </is>
      </c>
      <c r="E22" s="24" t="n">
        <v>2563.02</v>
      </c>
      <c r="F22" s="21" t="inlineStr">
        <is>
          <t>Pendente</t>
        </is>
      </c>
    </row>
    <row r="23" ht="18" customHeight="1">
      <c r="B23" s="18" t="n">
        <v>46131</v>
      </c>
      <c r="C23" s="11" t="inlineStr">
        <is>
          <t>Entrada - Cliente B</t>
        </is>
      </c>
      <c r="D23" s="13" t="inlineStr">
        <is>
          <t>Venda de Serviço</t>
        </is>
      </c>
      <c r="E23" s="24" t="n">
        <v>978.53</v>
      </c>
      <c r="F23" s="21" t="inlineStr">
        <is>
          <t>Pendente</t>
        </is>
      </c>
    </row>
    <row r="24" ht="18" customHeight="1">
      <c r="B24" s="18" t="n">
        <v>46131</v>
      </c>
      <c r="C24" s="11" t="inlineStr">
        <is>
          <t>Entrada - Cliente A</t>
        </is>
      </c>
      <c r="D24" s="13" t="inlineStr">
        <is>
          <t>Venda de Serviço</t>
        </is>
      </c>
      <c r="E24" s="24" t="n">
        <v>4210.5</v>
      </c>
      <c r="F24" s="21" t="inlineStr">
        <is>
          <t>Atrasado</t>
        </is>
      </c>
    </row>
    <row r="25" ht="18" customHeight="1">
      <c r="B25" s="18" t="n">
        <v>46134</v>
      </c>
      <c r="C25" s="11" t="inlineStr">
        <is>
          <t>Entrada - Cliente C</t>
        </is>
      </c>
      <c r="D25" s="13" t="inlineStr">
        <is>
          <t>Venda de Serviço</t>
        </is>
      </c>
      <c r="E25" s="24" t="n">
        <v>3764.86</v>
      </c>
      <c r="F25" s="21" t="inlineStr">
        <is>
          <t>Atrasado</t>
        </is>
      </c>
    </row>
    <row r="26" ht="18" customHeight="1">
      <c r="B26" s="18" t="n">
        <v>46135</v>
      </c>
      <c r="C26" s="11" t="inlineStr">
        <is>
          <t>Entrada - Cliente B</t>
        </is>
      </c>
      <c r="D26" s="13" t="inlineStr">
        <is>
          <t>Venda de Serviço</t>
        </is>
      </c>
      <c r="E26" s="24" t="n">
        <v>2812.46</v>
      </c>
      <c r="F26" s="21" t="inlineStr">
        <is>
          <t>Atrasado</t>
        </is>
      </c>
    </row>
    <row r="27" ht="18" customHeight="1">
      <c r="B27" s="18" t="n">
        <v>46140</v>
      </c>
      <c r="C27" s="11" t="inlineStr">
        <is>
          <t>Entrada - Cliente C</t>
        </is>
      </c>
      <c r="D27" s="13" t="inlineStr">
        <is>
          <t>Venda de Serviço</t>
        </is>
      </c>
      <c r="E27" s="24" t="n">
        <v>4623.36</v>
      </c>
      <c r="F27" s="21" t="inlineStr">
        <is>
          <t>Atrasado</t>
        </is>
      </c>
    </row>
    <row r="28" ht="18" customHeight="1">
      <c r="B28" s="18" t="n">
        <v>46140</v>
      </c>
      <c r="C28" s="11" t="inlineStr">
        <is>
          <t>Entrada - Cliente A</t>
        </is>
      </c>
      <c r="D28" s="13" t="inlineStr">
        <is>
          <t>Venda de Serviço</t>
        </is>
      </c>
      <c r="E28" s="24" t="n">
        <v>366.93</v>
      </c>
      <c r="F28" s="21" t="inlineStr">
        <is>
          <t>Atrasado</t>
        </is>
      </c>
    </row>
    <row r="29" ht="18" customHeight="1">
      <c r="B29" s="18" t="n">
        <v>46143</v>
      </c>
      <c r="C29" s="11" t="inlineStr">
        <is>
          <t>Entrada - Cliente C</t>
        </is>
      </c>
      <c r="D29" s="13" t="inlineStr">
        <is>
          <t>Venda de Serviço</t>
        </is>
      </c>
      <c r="E29" s="24" t="n">
        <v>3630.6</v>
      </c>
      <c r="F29" s="21" t="inlineStr">
        <is>
          <t>Pendente</t>
        </is>
      </c>
    </row>
    <row r="30" ht="18" customHeight="1">
      <c r="B30" s="18" t="n">
        <v>46144</v>
      </c>
      <c r="C30" s="11" t="inlineStr">
        <is>
          <t>Entrada - Cliente A</t>
        </is>
      </c>
      <c r="D30" s="13" t="inlineStr">
        <is>
          <t>Venda de Serviço</t>
        </is>
      </c>
      <c r="E30" s="24" t="n">
        <v>4904.83</v>
      </c>
      <c r="F30" s="21" t="inlineStr">
        <is>
          <t>Pendente</t>
        </is>
      </c>
    </row>
    <row r="31" ht="18" customHeight="1">
      <c r="B31" s="18" t="n">
        <v>46145</v>
      </c>
      <c r="C31" s="11" t="inlineStr">
        <is>
          <t>Entrada - Cliente C</t>
        </is>
      </c>
      <c r="D31" s="13" t="inlineStr">
        <is>
          <t>Venda de Serviço</t>
        </is>
      </c>
      <c r="E31" s="24" t="n">
        <v>3973.51</v>
      </c>
      <c r="F31" s="21" t="inlineStr">
        <is>
          <t>Pendente</t>
        </is>
      </c>
    </row>
    <row r="32" ht="18" customHeight="1">
      <c r="B32" s="18" t="n">
        <v>46146</v>
      </c>
      <c r="C32" s="11" t="inlineStr">
        <is>
          <t>Entrada - Cliente C</t>
        </is>
      </c>
      <c r="D32" s="13" t="inlineStr">
        <is>
          <t>Venda de Serviço</t>
        </is>
      </c>
      <c r="E32" s="24" t="n">
        <v>4539.3</v>
      </c>
      <c r="F32" s="21" t="inlineStr">
        <is>
          <t>Atrasado</t>
        </is>
      </c>
    </row>
    <row r="33" ht="18" customHeight="1">
      <c r="B33" s="18" t="n">
        <v>46147</v>
      </c>
      <c r="C33" s="11" t="inlineStr">
        <is>
          <t>Entrada - Cliente A</t>
        </is>
      </c>
      <c r="D33" s="13" t="inlineStr">
        <is>
          <t>Venda de Serviço</t>
        </is>
      </c>
      <c r="E33" s="24" t="n">
        <v>1361.16</v>
      </c>
      <c r="F33" s="21" t="inlineStr">
        <is>
          <t>Atrasado</t>
        </is>
      </c>
    </row>
    <row r="34" ht="18" customHeight="1">
      <c r="B34" s="18" t="n">
        <v>46152</v>
      </c>
      <c r="C34" s="11" t="inlineStr">
        <is>
          <t>Entrada - Cliente A</t>
        </is>
      </c>
      <c r="D34" s="13" t="inlineStr">
        <is>
          <t>Venda de Serviço</t>
        </is>
      </c>
      <c r="E34" s="24" t="n">
        <v>806.55</v>
      </c>
      <c r="F34" s="21" t="inlineStr">
        <is>
          <t>Atrasado</t>
        </is>
      </c>
    </row>
    <row r="35" ht="18" customHeight="1">
      <c r="B35" s="18" t="n">
        <v>46154</v>
      </c>
      <c r="C35" s="11" t="inlineStr">
        <is>
          <t>Entrada - Cliente A</t>
        </is>
      </c>
      <c r="D35" s="13" t="inlineStr">
        <is>
          <t>Venda de Serviço</t>
        </is>
      </c>
      <c r="E35" s="24" t="n">
        <v>3065.2</v>
      </c>
      <c r="F35" s="21" t="inlineStr">
        <is>
          <t>Atrasado</t>
        </is>
      </c>
    </row>
    <row r="36" ht="18" customHeight="1">
      <c r="B36" s="18" t="n">
        <v>46157</v>
      </c>
      <c r="C36" s="11" t="inlineStr">
        <is>
          <t>Entrada - Cliente A</t>
        </is>
      </c>
      <c r="D36" s="13" t="inlineStr">
        <is>
          <t>Venda de Serviço</t>
        </is>
      </c>
      <c r="E36" s="24" t="n">
        <v>3558.49</v>
      </c>
      <c r="F36" s="21" t="inlineStr">
        <is>
          <t>Atrasado</t>
        </is>
      </c>
    </row>
    <row r="37" ht="18" customHeight="1">
      <c r="B37" s="18" t="n">
        <v>46158</v>
      </c>
      <c r="C37" s="11" t="inlineStr">
        <is>
          <t>Entrada - Cliente C</t>
        </is>
      </c>
      <c r="D37" s="13" t="inlineStr">
        <is>
          <t>Venda de Serviço</t>
        </is>
      </c>
      <c r="E37" s="24" t="n">
        <v>4030.34</v>
      </c>
      <c r="F37" s="21" t="inlineStr">
        <is>
          <t>Pendente</t>
        </is>
      </c>
    </row>
    <row r="38" ht="18" customHeight="1">
      <c r="B38" s="18" t="n">
        <v>46160</v>
      </c>
      <c r="C38" s="11" t="inlineStr">
        <is>
          <t>Entrada - Cliente A</t>
        </is>
      </c>
      <c r="D38" s="13" t="inlineStr">
        <is>
          <t>Venda de Serviço</t>
        </is>
      </c>
      <c r="E38" s="24" t="n">
        <v>4986.76</v>
      </c>
      <c r="F38" s="21" t="inlineStr">
        <is>
          <t>Pendente</t>
        </is>
      </c>
    </row>
    <row r="39" ht="18" customHeight="1">
      <c r="B39" s="18" t="n">
        <v>46160</v>
      </c>
      <c r="C39" s="11" t="inlineStr">
        <is>
          <t>Entrada - Cliente C</t>
        </is>
      </c>
      <c r="D39" s="13" t="inlineStr">
        <is>
          <t>Venda de Serviço</t>
        </is>
      </c>
      <c r="E39" s="24" t="n">
        <v>1948.75</v>
      </c>
      <c r="F39" s="21" t="inlineStr">
        <is>
          <t>Atrasado</t>
        </is>
      </c>
    </row>
    <row r="40" ht="18" customHeight="1">
      <c r="B40" s="18" t="n">
        <v>46161</v>
      </c>
      <c r="C40" s="11" t="inlineStr">
        <is>
          <t>Entrada - Cliente A</t>
        </is>
      </c>
      <c r="D40" s="13" t="inlineStr">
        <is>
          <t>Venda de Serviço</t>
        </is>
      </c>
      <c r="E40" s="24" t="n">
        <v>412.64</v>
      </c>
      <c r="F40" s="21" t="inlineStr">
        <is>
          <t>Pendente</t>
        </is>
      </c>
    </row>
    <row r="41" ht="18" customHeight="1">
      <c r="B41" s="18" t="n">
        <v>46167</v>
      </c>
      <c r="C41" s="11" t="inlineStr">
        <is>
          <t>Entrada - Cliente C</t>
        </is>
      </c>
      <c r="D41" s="13" t="inlineStr">
        <is>
          <t>Venda de Serviço</t>
        </is>
      </c>
      <c r="E41" s="24" t="n">
        <v>998.13</v>
      </c>
      <c r="F41" s="21" t="inlineStr">
        <is>
          <t>Pendente</t>
        </is>
      </c>
    </row>
    <row r="42" ht="18" customHeight="1">
      <c r="B42" s="18" t="n">
        <v>46170</v>
      </c>
      <c r="C42" s="11" t="inlineStr">
        <is>
          <t>Entrada - Cliente A</t>
        </is>
      </c>
      <c r="D42" s="13" t="inlineStr">
        <is>
          <t>Venda de Serviço</t>
        </is>
      </c>
      <c r="E42" s="24" t="n">
        <v>3827.39</v>
      </c>
      <c r="F42" s="21" t="inlineStr">
        <is>
          <t>Atrasado</t>
        </is>
      </c>
    </row>
    <row r="43" ht="18" customHeight="1">
      <c r="B43" s="18" t="n">
        <v>46175</v>
      </c>
      <c r="C43" s="11" t="inlineStr">
        <is>
          <t>Entrada - Cliente B</t>
        </is>
      </c>
      <c r="D43" s="13" t="inlineStr">
        <is>
          <t>Venda de Serviço</t>
        </is>
      </c>
      <c r="E43" s="24" t="n">
        <v>3889.68</v>
      </c>
      <c r="F43" s="21" t="inlineStr">
        <is>
          <t>Pendente</t>
        </is>
      </c>
    </row>
    <row r="44" ht="18" customHeight="1">
      <c r="B44" s="18" t="n">
        <v>46179</v>
      </c>
      <c r="C44" s="11" t="inlineStr">
        <is>
          <t>Entrada - Cliente B</t>
        </is>
      </c>
      <c r="D44" s="13" t="inlineStr">
        <is>
          <t>Venda de Serviço</t>
        </is>
      </c>
      <c r="E44" s="24" t="n">
        <v>2466.74</v>
      </c>
      <c r="F44" s="21" t="inlineStr">
        <is>
          <t>Pendente</t>
        </is>
      </c>
    </row>
    <row r="45" ht="18" customHeight="1">
      <c r="B45" s="18" t="n">
        <v>46180</v>
      </c>
      <c r="C45" s="11" t="inlineStr">
        <is>
          <t>Entrada - Cliente A</t>
        </is>
      </c>
      <c r="D45" s="13" t="inlineStr">
        <is>
          <t>Venda de Serviço</t>
        </is>
      </c>
      <c r="E45" s="24" t="n">
        <v>1554.18</v>
      </c>
      <c r="F45" s="21" t="inlineStr">
        <is>
          <t>Atrasado</t>
        </is>
      </c>
    </row>
    <row r="46" ht="18" customHeight="1">
      <c r="B46" s="18" t="n">
        <v>46182</v>
      </c>
      <c r="C46" s="11" t="inlineStr">
        <is>
          <t>Entrada - Cliente B</t>
        </is>
      </c>
      <c r="D46" s="13" t="inlineStr">
        <is>
          <t>Venda de Serviço</t>
        </is>
      </c>
      <c r="E46" s="24" t="n">
        <v>3311.96</v>
      </c>
      <c r="F46" s="21" t="inlineStr">
        <is>
          <t>Pendente</t>
        </is>
      </c>
    </row>
    <row r="47" ht="18" customHeight="1">
      <c r="B47" s="18" t="n">
        <v>46184</v>
      </c>
      <c r="C47" s="11" t="inlineStr">
        <is>
          <t>Entrada - Cliente B</t>
        </is>
      </c>
      <c r="D47" s="13" t="inlineStr">
        <is>
          <t>Venda de Serviço</t>
        </is>
      </c>
      <c r="E47" s="24" t="n">
        <v>4326.93</v>
      </c>
      <c r="F47" s="21" t="inlineStr">
        <is>
          <t>Pendente</t>
        </is>
      </c>
    </row>
    <row r="48" ht="18" customHeight="1">
      <c r="B48" s="18" t="n">
        <v>46188</v>
      </c>
      <c r="C48" s="11" t="inlineStr">
        <is>
          <t>Entrada - Cliente A</t>
        </is>
      </c>
      <c r="D48" s="13" t="inlineStr">
        <is>
          <t>Venda de Serviço</t>
        </is>
      </c>
      <c r="E48" s="24" t="n">
        <v>167.14</v>
      </c>
      <c r="F48" s="21" t="inlineStr">
        <is>
          <t>Pendente</t>
        </is>
      </c>
    </row>
    <row r="49" ht="18" customHeight="1">
      <c r="B49" s="18" t="n">
        <v>46193</v>
      </c>
      <c r="C49" s="11" t="inlineStr">
        <is>
          <t>Entrada - Cliente C</t>
        </is>
      </c>
      <c r="D49" s="13" t="inlineStr">
        <is>
          <t>Venda de Serviço</t>
        </is>
      </c>
      <c r="E49" s="24" t="n">
        <v>4290.82</v>
      </c>
      <c r="F49" s="21" t="inlineStr">
        <is>
          <t>Pendente</t>
        </is>
      </c>
    </row>
    <row r="50" ht="18" customHeight="1">
      <c r="B50" s="18" t="n">
        <v>46193</v>
      </c>
      <c r="C50" s="11" t="inlineStr">
        <is>
          <t>Entrada - Cliente C</t>
        </is>
      </c>
      <c r="D50" s="13" t="inlineStr">
        <is>
          <t>Venda de Serviço</t>
        </is>
      </c>
      <c r="E50" s="24" t="n">
        <v>999.61</v>
      </c>
      <c r="F50" s="21" t="inlineStr">
        <is>
          <t>Atrasado</t>
        </is>
      </c>
    </row>
    <row r="51" ht="18" customHeight="1">
      <c r="B51" s="18" t="n">
        <v>46202</v>
      </c>
      <c r="C51" s="11" t="inlineStr">
        <is>
          <t>Entrada - Cliente B</t>
        </is>
      </c>
      <c r="D51" s="13" t="inlineStr">
        <is>
          <t>Venda de Serviço</t>
        </is>
      </c>
      <c r="E51" s="24" t="n">
        <v>1930.64</v>
      </c>
      <c r="F51" s="21" t="inlineStr">
        <is>
          <t>Atrasado</t>
        </is>
      </c>
    </row>
    <row r="52" ht="18" customHeight="1">
      <c r="B52" s="18" t="n">
        <v>46203</v>
      </c>
      <c r="C52" s="11" t="inlineStr">
        <is>
          <t>Entrada - Cliente B</t>
        </is>
      </c>
      <c r="D52" s="13" t="inlineStr">
        <is>
          <t>Venda de Serviço</t>
        </is>
      </c>
      <c r="E52" s="24" t="n">
        <v>1806.38</v>
      </c>
      <c r="F52" s="21" t="inlineStr">
        <is>
          <t>Pendente</t>
        </is>
      </c>
    </row>
    <row r="53" ht="18" customHeight="1">
      <c r="B53" s="18" t="n">
        <v>46204</v>
      </c>
      <c r="C53" s="11" t="inlineStr">
        <is>
          <t>Entrada - Cliente B</t>
        </is>
      </c>
      <c r="D53" s="13" t="inlineStr">
        <is>
          <t>Venda de Serviço</t>
        </is>
      </c>
      <c r="E53" s="24" t="n">
        <v>2373.98</v>
      </c>
      <c r="F53" s="21" t="inlineStr">
        <is>
          <t>Atrasado</t>
        </is>
      </c>
    </row>
    <row r="54" ht="18" customHeight="1">
      <c r="B54" s="18" t="n">
        <v>46206</v>
      </c>
      <c r="C54" s="11" t="inlineStr">
        <is>
          <t>Entrada - Cliente B</t>
        </is>
      </c>
      <c r="D54" s="13" t="inlineStr">
        <is>
          <t>Venda de Serviço</t>
        </is>
      </c>
      <c r="E54" s="24" t="n">
        <v>367.93</v>
      </c>
      <c r="F54" s="21" t="inlineStr">
        <is>
          <t>Atrasado</t>
        </is>
      </c>
    </row>
    <row r="55" ht="18" customHeight="1">
      <c r="B55" s="18" t="n">
        <v>46208</v>
      </c>
      <c r="C55" s="11" t="inlineStr">
        <is>
          <t>Entrada - Cliente C</t>
        </is>
      </c>
      <c r="D55" s="13" t="inlineStr">
        <is>
          <t>Venda de Serviço</t>
        </is>
      </c>
      <c r="E55" s="24" t="n">
        <v>4452.64</v>
      </c>
      <c r="F55" s="21" t="inlineStr">
        <is>
          <t>Atrasado</t>
        </is>
      </c>
    </row>
    <row r="56" ht="18" customHeight="1">
      <c r="B56" s="18" t="n">
        <v>46214</v>
      </c>
      <c r="C56" s="11" t="inlineStr">
        <is>
          <t>Entrada - Cliente C</t>
        </is>
      </c>
      <c r="D56" s="13" t="inlineStr">
        <is>
          <t>Venda de Serviço</t>
        </is>
      </c>
      <c r="E56" s="24" t="n">
        <v>3355.92</v>
      </c>
      <c r="F56" s="21" t="inlineStr">
        <is>
          <t>Atrasado</t>
        </is>
      </c>
    </row>
    <row r="57" ht="18" customHeight="1">
      <c r="B57" s="18" t="n">
        <v>46216</v>
      </c>
      <c r="C57" s="11" t="inlineStr">
        <is>
          <t>Entrada - Cliente C</t>
        </is>
      </c>
      <c r="D57" s="13" t="inlineStr">
        <is>
          <t>Venda de Serviço</t>
        </is>
      </c>
      <c r="E57" s="24" t="n">
        <v>2516.96</v>
      </c>
      <c r="F57" s="21" t="inlineStr">
        <is>
          <t>Atrasado</t>
        </is>
      </c>
    </row>
    <row r="58" ht="18" customHeight="1">
      <c r="B58" s="18" t="n">
        <v>46219</v>
      </c>
      <c r="C58" s="11" t="inlineStr">
        <is>
          <t>Entrada - Cliente A</t>
        </is>
      </c>
      <c r="D58" s="13" t="inlineStr">
        <is>
          <t>Venda de Serviço</t>
        </is>
      </c>
      <c r="E58" s="24" t="n">
        <v>4162.12</v>
      </c>
      <c r="F58" s="21" t="inlineStr">
        <is>
          <t>Pendente</t>
        </is>
      </c>
    </row>
    <row r="59" ht="18" customHeight="1">
      <c r="B59" s="18" t="n">
        <v>46221</v>
      </c>
      <c r="C59" s="11" t="inlineStr">
        <is>
          <t>Entrada - Cliente A</t>
        </is>
      </c>
      <c r="D59" s="13" t="inlineStr">
        <is>
          <t>Venda de Serviço</t>
        </is>
      </c>
      <c r="E59" s="24" t="n">
        <v>3724.96</v>
      </c>
      <c r="F59" s="21" t="inlineStr">
        <is>
          <t>Pendente</t>
        </is>
      </c>
    </row>
    <row r="60" ht="18" customHeight="1">
      <c r="B60" s="18" t="n">
        <v>46221</v>
      </c>
      <c r="C60" s="11" t="inlineStr">
        <is>
          <t>Entrada - Cliente B</t>
        </is>
      </c>
      <c r="D60" s="13" t="inlineStr">
        <is>
          <t>Venda de Serviço</t>
        </is>
      </c>
      <c r="E60" s="24" t="n">
        <v>858.84</v>
      </c>
      <c r="F60" s="21" t="inlineStr">
        <is>
          <t>Atrasado</t>
        </is>
      </c>
    </row>
    <row r="61" ht="18" customHeight="1">
      <c r="B61" s="18" t="n">
        <v>46221</v>
      </c>
      <c r="C61" s="11" t="inlineStr">
        <is>
          <t>Entrada - Cliente C</t>
        </is>
      </c>
      <c r="D61" s="13" t="inlineStr">
        <is>
          <t>Venda de Serviço</t>
        </is>
      </c>
      <c r="E61" s="24" t="n">
        <v>3682.29</v>
      </c>
      <c r="F61" s="21" t="inlineStr">
        <is>
          <t>Atrasado</t>
        </is>
      </c>
    </row>
    <row r="62" ht="18" customHeight="1">
      <c r="B62" s="18" t="n">
        <v>46222</v>
      </c>
      <c r="C62" s="11" t="inlineStr">
        <is>
          <t>Entrada - Cliente C</t>
        </is>
      </c>
      <c r="D62" s="13" t="inlineStr">
        <is>
          <t>Venda de Serviço</t>
        </is>
      </c>
      <c r="E62" s="24" t="n">
        <v>4997.88</v>
      </c>
      <c r="F62" s="21" t="inlineStr">
        <is>
          <t>Atrasado</t>
        </is>
      </c>
    </row>
    <row r="63" ht="18" customHeight="1">
      <c r="B63" s="18" t="n">
        <v>46223</v>
      </c>
      <c r="C63" s="11" t="inlineStr">
        <is>
          <t>Entrada - Cliente C</t>
        </is>
      </c>
      <c r="D63" s="13" t="inlineStr">
        <is>
          <t>Venda de Serviço</t>
        </is>
      </c>
      <c r="E63" s="24" t="n">
        <v>2295.93</v>
      </c>
      <c r="F63" s="21" t="inlineStr">
        <is>
          <t>Atrasado</t>
        </is>
      </c>
    </row>
    <row r="64" ht="18" customHeight="1">
      <c r="B64" s="18" t="n">
        <v>46227</v>
      </c>
      <c r="C64" s="11" t="inlineStr">
        <is>
          <t>Entrada - Cliente C</t>
        </is>
      </c>
      <c r="D64" s="13" t="inlineStr">
        <is>
          <t>Venda de Serviço</t>
        </is>
      </c>
      <c r="E64" s="24" t="n">
        <v>2048.69</v>
      </c>
      <c r="F64" s="21" t="inlineStr">
        <is>
          <t>Atrasado</t>
        </is>
      </c>
    </row>
    <row r="65" ht="18" customHeight="1">
      <c r="B65" s="18" t="n">
        <v>46228</v>
      </c>
      <c r="C65" s="11" t="inlineStr">
        <is>
          <t>Entrada - Cliente A</t>
        </is>
      </c>
      <c r="D65" s="13" t="inlineStr">
        <is>
          <t>Venda de Serviço</t>
        </is>
      </c>
      <c r="E65" s="24" t="n">
        <v>4669.63</v>
      </c>
      <c r="F65" s="21" t="inlineStr">
        <is>
          <t>Pendente</t>
        </is>
      </c>
    </row>
    <row r="66" ht="18" customHeight="1">
      <c r="B66" s="18" t="n">
        <v>46233</v>
      </c>
      <c r="C66" s="11" t="inlineStr">
        <is>
          <t>Entrada - Cliente C</t>
        </is>
      </c>
      <c r="D66" s="13" t="inlineStr">
        <is>
          <t>Venda de Serviço</t>
        </is>
      </c>
      <c r="E66" s="24" t="n">
        <v>2154.44</v>
      </c>
      <c r="F66" s="21" t="inlineStr">
        <is>
          <t>Atrasado</t>
        </is>
      </c>
    </row>
    <row r="67" ht="18" customHeight="1">
      <c r="B67" s="18" t="n">
        <v>46236</v>
      </c>
      <c r="C67" s="11" t="inlineStr">
        <is>
          <t>Entrada - Cliente B</t>
        </is>
      </c>
      <c r="D67" s="13" t="inlineStr">
        <is>
          <t>Venda de Serviço</t>
        </is>
      </c>
      <c r="E67" s="24" t="n">
        <v>1428.46</v>
      </c>
      <c r="F67" s="21" t="inlineStr">
        <is>
          <t>Atrasado</t>
        </is>
      </c>
    </row>
    <row r="68" ht="18" customHeight="1">
      <c r="B68" s="18" t="n">
        <v>46242</v>
      </c>
      <c r="C68" s="11" t="inlineStr">
        <is>
          <t>Entrada - Cliente C</t>
        </is>
      </c>
      <c r="D68" s="13" t="inlineStr">
        <is>
          <t>Venda de Serviço</t>
        </is>
      </c>
      <c r="E68" s="24" t="n">
        <v>1956.72</v>
      </c>
      <c r="F68" s="21" t="inlineStr">
        <is>
          <t>Pendente</t>
        </is>
      </c>
    </row>
    <row r="69" ht="18" customHeight="1">
      <c r="B69" s="18" t="n">
        <v>46245</v>
      </c>
      <c r="C69" s="11" t="inlineStr">
        <is>
          <t>Entrada - Cliente A</t>
        </is>
      </c>
      <c r="D69" s="13" t="inlineStr">
        <is>
          <t>Venda de Serviço</t>
        </is>
      </c>
      <c r="E69" s="24" t="n">
        <v>4413.01</v>
      </c>
      <c r="F69" s="21" t="inlineStr">
        <is>
          <t>Atrasado</t>
        </is>
      </c>
    </row>
    <row r="70" ht="18" customHeight="1">
      <c r="B70" s="18" t="n">
        <v>46251</v>
      </c>
      <c r="C70" s="11" t="inlineStr">
        <is>
          <t>Entrada - Cliente A</t>
        </is>
      </c>
      <c r="D70" s="13" t="inlineStr">
        <is>
          <t>Venda de Serviço</t>
        </is>
      </c>
      <c r="E70" s="24" t="n">
        <v>3791.12</v>
      </c>
      <c r="F70" s="21" t="inlineStr">
        <is>
          <t>Atrasado</t>
        </is>
      </c>
    </row>
    <row r="71" ht="18" customHeight="1">
      <c r="B71" s="18" t="n">
        <v>46252</v>
      </c>
      <c r="C71" s="11" t="inlineStr">
        <is>
          <t>Entrada - Cliente C</t>
        </is>
      </c>
      <c r="D71" s="13" t="inlineStr">
        <is>
          <t>Venda de Serviço</t>
        </is>
      </c>
      <c r="E71" s="24" t="n">
        <v>603.78</v>
      </c>
      <c r="F71" s="21" t="inlineStr">
        <is>
          <t>Atrasado</t>
        </is>
      </c>
    </row>
    <row r="72" ht="18" customHeight="1">
      <c r="B72" s="18" t="n">
        <v>46256</v>
      </c>
      <c r="C72" s="11" t="inlineStr">
        <is>
          <t>Entrada - Cliente B</t>
        </is>
      </c>
      <c r="D72" s="13" t="inlineStr">
        <is>
          <t>Venda de Serviço</t>
        </is>
      </c>
      <c r="E72" s="24" t="n">
        <v>465.54</v>
      </c>
      <c r="F72" s="21" t="inlineStr">
        <is>
          <t>Pendente</t>
        </is>
      </c>
    </row>
    <row r="73" ht="18" customHeight="1">
      <c r="B73" s="18" t="n">
        <v>46258</v>
      </c>
      <c r="C73" s="11" t="inlineStr">
        <is>
          <t>Entrada - Cliente A</t>
        </is>
      </c>
      <c r="D73" s="13" t="inlineStr">
        <is>
          <t>Venda de Serviço</t>
        </is>
      </c>
      <c r="E73" s="24" t="n">
        <v>2501.88</v>
      </c>
      <c r="F73" s="21" t="inlineStr">
        <is>
          <t>Atrasado</t>
        </is>
      </c>
    </row>
    <row r="74" ht="18" customHeight="1">
      <c r="B74" s="18" t="n">
        <v>46260</v>
      </c>
      <c r="C74" s="11" t="inlineStr">
        <is>
          <t>Entrada - Cliente B</t>
        </is>
      </c>
      <c r="D74" s="13" t="inlineStr">
        <is>
          <t>Venda de Serviço</t>
        </is>
      </c>
      <c r="E74" s="24" t="n">
        <v>3620.36</v>
      </c>
      <c r="F74" s="21" t="inlineStr">
        <is>
          <t>Atrasado</t>
        </is>
      </c>
    </row>
    <row r="75" ht="18" customHeight="1">
      <c r="B75" s="18" t="n">
        <v>46261</v>
      </c>
      <c r="C75" s="11" t="inlineStr">
        <is>
          <t>Entrada - Cliente B</t>
        </is>
      </c>
      <c r="D75" s="13" t="inlineStr">
        <is>
          <t>Venda de Serviço</t>
        </is>
      </c>
      <c r="E75" s="24" t="n">
        <v>1606.86</v>
      </c>
      <c r="F75" s="21" t="inlineStr">
        <is>
          <t>Pendente</t>
        </is>
      </c>
    </row>
    <row r="76" ht="18" customHeight="1">
      <c r="B76" s="18" t="n">
        <v>46261</v>
      </c>
      <c r="C76" s="11" t="inlineStr">
        <is>
          <t>Entrada - Cliente C</t>
        </is>
      </c>
      <c r="D76" s="13" t="inlineStr">
        <is>
          <t>Venda de Serviço</t>
        </is>
      </c>
      <c r="E76" s="24" t="n">
        <v>674.79</v>
      </c>
      <c r="F76" s="21" t="inlineStr">
        <is>
          <t>Atrasado</t>
        </is>
      </c>
    </row>
    <row r="77" ht="18" customHeight="1">
      <c r="B77" s="18" t="n">
        <v>46263</v>
      </c>
      <c r="C77" s="11" t="inlineStr">
        <is>
          <t>Entrada - Cliente B</t>
        </is>
      </c>
      <c r="D77" s="13" t="inlineStr">
        <is>
          <t>Venda de Serviço</t>
        </is>
      </c>
      <c r="E77" s="24" t="n">
        <v>4255.4</v>
      </c>
      <c r="F77" s="21" t="inlineStr">
        <is>
          <t>Pendente</t>
        </is>
      </c>
    </row>
    <row r="78" ht="18" customHeight="1">
      <c r="B78" s="18" t="n">
        <v>46264</v>
      </c>
      <c r="C78" s="11" t="inlineStr">
        <is>
          <t>Entrada - Cliente C</t>
        </is>
      </c>
      <c r="D78" s="13" t="inlineStr">
        <is>
          <t>Venda de Serviço</t>
        </is>
      </c>
      <c r="E78" s="24" t="n">
        <v>3426.23</v>
      </c>
      <c r="F78" s="21" t="inlineStr">
        <is>
          <t>Pendente</t>
        </is>
      </c>
    </row>
    <row r="79" ht="18" customHeight="1">
      <c r="B79" s="18" t="n">
        <v>46272</v>
      </c>
      <c r="C79" s="11" t="inlineStr">
        <is>
          <t>Entrada - Cliente A</t>
        </is>
      </c>
      <c r="D79" s="13" t="inlineStr">
        <is>
          <t>Venda de Serviço</t>
        </is>
      </c>
      <c r="E79" s="24" t="n">
        <v>2962.78</v>
      </c>
      <c r="F79" s="21" t="inlineStr">
        <is>
          <t>Atrasado</t>
        </is>
      </c>
    </row>
    <row r="80" ht="18" customHeight="1">
      <c r="B80" s="18" t="n">
        <v>46273</v>
      </c>
      <c r="C80" s="11" t="inlineStr">
        <is>
          <t>Entrada - Cliente B</t>
        </is>
      </c>
      <c r="D80" s="13" t="inlineStr">
        <is>
          <t>Venda de Serviço</t>
        </is>
      </c>
      <c r="E80" s="24" t="n">
        <v>473.98</v>
      </c>
      <c r="F80" s="21" t="inlineStr">
        <is>
          <t>Atrasado</t>
        </is>
      </c>
    </row>
    <row r="81" ht="18" customHeight="1">
      <c r="B81" s="18" t="n">
        <v>46278</v>
      </c>
      <c r="C81" s="11" t="inlineStr">
        <is>
          <t>Entrada - Cliente A</t>
        </is>
      </c>
      <c r="D81" s="13" t="inlineStr">
        <is>
          <t>Venda de Serviço</t>
        </is>
      </c>
      <c r="E81" s="24" t="n">
        <v>3752.48</v>
      </c>
      <c r="F81" s="21" t="inlineStr">
        <is>
          <t>Atrasado</t>
        </is>
      </c>
    </row>
    <row r="82" ht="18" customHeight="1">
      <c r="B82" s="18" t="n">
        <v>46279</v>
      </c>
      <c r="C82" s="11" t="inlineStr">
        <is>
          <t>Entrada - Cliente B</t>
        </is>
      </c>
      <c r="D82" s="13" t="inlineStr">
        <is>
          <t>Venda de Serviço</t>
        </is>
      </c>
      <c r="E82" s="24" t="n">
        <v>4287.26</v>
      </c>
      <c r="F82" s="21" t="inlineStr">
        <is>
          <t>Pendente</t>
        </is>
      </c>
    </row>
    <row r="83" ht="18" customHeight="1">
      <c r="B83" s="18" t="n">
        <v>46290</v>
      </c>
      <c r="C83" s="11" t="inlineStr">
        <is>
          <t>Entrada - Cliente A</t>
        </is>
      </c>
      <c r="D83" s="13" t="inlineStr">
        <is>
          <t>Venda de Serviço</t>
        </is>
      </c>
      <c r="E83" s="24" t="n">
        <v>2782.36</v>
      </c>
      <c r="F83" s="21" t="inlineStr">
        <is>
          <t>Pendente</t>
        </is>
      </c>
    </row>
    <row r="86" ht="22" customHeight="1">
      <c r="B86" s="9" t="inlineStr">
        <is>
          <t>Contas a pagar em aberto (64)</t>
        </is>
      </c>
      <c r="C86" s="10" t="n"/>
      <c r="D86" s="10" t="n"/>
      <c r="E86" s="10" t="n"/>
      <c r="F86" s="10" t="n"/>
    </row>
    <row r="87" ht="26" customHeight="1">
      <c r="B87" s="15" t="inlineStr">
        <is>
          <t>Data</t>
        </is>
      </c>
      <c r="C87" s="15" t="inlineStr">
        <is>
          <t>Descrição</t>
        </is>
      </c>
      <c r="D87" s="15" t="inlineStr">
        <is>
          <t>Categoria</t>
        </is>
      </c>
      <c r="E87" s="16" t="inlineStr">
        <is>
          <t>Valor</t>
        </is>
      </c>
      <c r="F87" s="17" t="inlineStr">
        <is>
          <t>Status</t>
        </is>
      </c>
    </row>
    <row r="88" ht="18" customHeight="1">
      <c r="B88" s="18" t="n">
        <v>46110</v>
      </c>
      <c r="C88" s="11" t="inlineStr">
        <is>
          <t>Saída - Fornecedor Z</t>
        </is>
      </c>
      <c r="D88" s="13" t="inlineStr">
        <is>
          <t>Imposto</t>
        </is>
      </c>
      <c r="E88" s="25" t="n">
        <v>849.83</v>
      </c>
      <c r="F88" s="21" t="inlineStr">
        <is>
          <t>Pendente</t>
        </is>
      </c>
    </row>
    <row r="89" ht="18" customHeight="1">
      <c r="B89" s="18" t="n">
        <v>46111</v>
      </c>
      <c r="C89" s="11" t="inlineStr">
        <is>
          <t>Saída - Fornecedor Y</t>
        </is>
      </c>
      <c r="D89" s="13" t="inlineStr">
        <is>
          <t>Manutenção</t>
        </is>
      </c>
      <c r="E89" s="25" t="n">
        <v>665.55</v>
      </c>
      <c r="F89" s="21" t="inlineStr">
        <is>
          <t>Pendente</t>
        </is>
      </c>
    </row>
    <row r="90" ht="18" customHeight="1">
      <c r="B90" s="18" t="n">
        <v>46112</v>
      </c>
      <c r="C90" s="11" t="inlineStr">
        <is>
          <t>Saída - Fornecedor Y</t>
        </is>
      </c>
      <c r="D90" s="13" t="inlineStr">
        <is>
          <t>Salário</t>
        </is>
      </c>
      <c r="E90" s="25" t="n">
        <v>3351.12</v>
      </c>
      <c r="F90" s="21" t="inlineStr">
        <is>
          <t>Pendente</t>
        </is>
      </c>
    </row>
    <row r="91" ht="18" customHeight="1">
      <c r="B91" s="18" t="n">
        <v>46121</v>
      </c>
      <c r="C91" s="11" t="inlineStr">
        <is>
          <t>Saída - Fornecedor Y</t>
        </is>
      </c>
      <c r="D91" s="13" t="inlineStr">
        <is>
          <t>Imposto</t>
        </is>
      </c>
      <c r="E91" s="25" t="n">
        <v>3540.88</v>
      </c>
      <c r="F91" s="21" t="inlineStr">
        <is>
          <t>Atrasado</t>
        </is>
      </c>
    </row>
    <row r="92" ht="18" customHeight="1">
      <c r="B92" s="18" t="n">
        <v>46123</v>
      </c>
      <c r="C92" s="11" t="inlineStr">
        <is>
          <t>Saída - Fornecedor Z</t>
        </is>
      </c>
      <c r="D92" s="13" t="inlineStr">
        <is>
          <t>Aluguel</t>
        </is>
      </c>
      <c r="E92" s="25" t="n">
        <v>4325.99</v>
      </c>
      <c r="F92" s="21" t="inlineStr">
        <is>
          <t>Atrasado</t>
        </is>
      </c>
    </row>
    <row r="93" ht="18" customHeight="1">
      <c r="B93" s="18" t="n">
        <v>46123</v>
      </c>
      <c r="C93" s="11" t="inlineStr">
        <is>
          <t>Saída - Fornecedor X</t>
        </is>
      </c>
      <c r="D93" s="13" t="inlineStr">
        <is>
          <t>Fornecedor</t>
        </is>
      </c>
      <c r="E93" s="25" t="n">
        <v>2497.17</v>
      </c>
      <c r="F93" s="21" t="inlineStr">
        <is>
          <t>Atrasado</t>
        </is>
      </c>
    </row>
    <row r="94" ht="18" customHeight="1">
      <c r="B94" s="18" t="n">
        <v>46125</v>
      </c>
      <c r="C94" s="11" t="inlineStr">
        <is>
          <t>Saída - Fornecedor Z</t>
        </is>
      </c>
      <c r="D94" s="13" t="inlineStr">
        <is>
          <t>Aluguel</t>
        </is>
      </c>
      <c r="E94" s="25" t="n">
        <v>3324.53</v>
      </c>
      <c r="F94" s="21" t="inlineStr">
        <is>
          <t>Pendente</t>
        </is>
      </c>
    </row>
    <row r="95" ht="18" customHeight="1">
      <c r="B95" s="18" t="n">
        <v>46126</v>
      </c>
      <c r="C95" s="11" t="inlineStr">
        <is>
          <t>Saída - Fornecedor Y</t>
        </is>
      </c>
      <c r="D95" s="13" t="inlineStr">
        <is>
          <t>Salário</t>
        </is>
      </c>
      <c r="E95" s="25" t="n">
        <v>4328.55</v>
      </c>
      <c r="F95" s="21" t="inlineStr">
        <is>
          <t>Atrasado</t>
        </is>
      </c>
    </row>
    <row r="96" ht="18" customHeight="1">
      <c r="B96" s="18" t="n">
        <v>46126</v>
      </c>
      <c r="C96" s="11" t="inlineStr">
        <is>
          <t>Saída - Fornecedor Y</t>
        </is>
      </c>
      <c r="D96" s="13" t="inlineStr">
        <is>
          <t>Imposto</t>
        </is>
      </c>
      <c r="E96" s="25" t="n">
        <v>1102.5</v>
      </c>
      <c r="F96" s="21" t="inlineStr">
        <is>
          <t>Pendente</t>
        </is>
      </c>
    </row>
    <row r="97" ht="18" customHeight="1">
      <c r="B97" s="18" t="n">
        <v>46132</v>
      </c>
      <c r="C97" s="11" t="inlineStr">
        <is>
          <t>Saída - Fornecedor Z</t>
        </is>
      </c>
      <c r="D97" s="13" t="inlineStr">
        <is>
          <t>Salário</t>
        </is>
      </c>
      <c r="E97" s="25" t="n">
        <v>440.06</v>
      </c>
      <c r="F97" s="21" t="inlineStr">
        <is>
          <t>Pendente</t>
        </is>
      </c>
    </row>
    <row r="98" ht="18" customHeight="1">
      <c r="B98" s="18" t="n">
        <v>46135</v>
      </c>
      <c r="C98" s="11" t="inlineStr">
        <is>
          <t>Saída - Fornecedor Y</t>
        </is>
      </c>
      <c r="D98" s="13" t="inlineStr">
        <is>
          <t>Salário</t>
        </is>
      </c>
      <c r="E98" s="25" t="n">
        <v>1761.15</v>
      </c>
      <c r="F98" s="21" t="inlineStr">
        <is>
          <t>Atrasado</t>
        </is>
      </c>
    </row>
    <row r="99" ht="18" customHeight="1">
      <c r="B99" s="18" t="n">
        <v>46139</v>
      </c>
      <c r="C99" s="11" t="inlineStr">
        <is>
          <t>Saída - Fornecedor X</t>
        </is>
      </c>
      <c r="D99" s="13" t="inlineStr">
        <is>
          <t>Fornecedor</t>
        </is>
      </c>
      <c r="E99" s="25" t="n">
        <v>4710.28</v>
      </c>
      <c r="F99" s="21" t="inlineStr">
        <is>
          <t>Atrasado</t>
        </is>
      </c>
    </row>
    <row r="100" ht="18" customHeight="1">
      <c r="B100" s="18" t="n">
        <v>46142</v>
      </c>
      <c r="C100" s="11" t="inlineStr">
        <is>
          <t>Saída - Fornecedor Z</t>
        </is>
      </c>
      <c r="D100" s="13" t="inlineStr">
        <is>
          <t>Salário</t>
        </is>
      </c>
      <c r="E100" s="25" t="n">
        <v>3474.35</v>
      </c>
      <c r="F100" s="21" t="inlineStr">
        <is>
          <t>Pendente</t>
        </is>
      </c>
    </row>
    <row r="101" ht="18" customHeight="1">
      <c r="B101" s="18" t="n">
        <v>46143</v>
      </c>
      <c r="C101" s="11" t="inlineStr">
        <is>
          <t>Saída - Fornecedor Z</t>
        </is>
      </c>
      <c r="D101" s="13" t="inlineStr">
        <is>
          <t>Fornecedor</t>
        </is>
      </c>
      <c r="E101" s="25" t="n">
        <v>178.03</v>
      </c>
      <c r="F101" s="21" t="inlineStr">
        <is>
          <t>Atrasado</t>
        </is>
      </c>
    </row>
    <row r="102" ht="18" customHeight="1">
      <c r="B102" s="18" t="n">
        <v>46145</v>
      </c>
      <c r="C102" s="11" t="inlineStr">
        <is>
          <t>Saída - Fornecedor X</t>
        </is>
      </c>
      <c r="D102" s="13" t="inlineStr">
        <is>
          <t>Aluguel</t>
        </is>
      </c>
      <c r="E102" s="25" t="n">
        <v>2035.77</v>
      </c>
      <c r="F102" s="21" t="inlineStr">
        <is>
          <t>Atrasado</t>
        </is>
      </c>
    </row>
    <row r="103" ht="18" customHeight="1">
      <c r="B103" s="18" t="n">
        <v>46145</v>
      </c>
      <c r="C103" s="11" t="inlineStr">
        <is>
          <t>Saída - Fornecedor Y</t>
        </is>
      </c>
      <c r="D103" s="13" t="inlineStr">
        <is>
          <t>Imposto</t>
        </is>
      </c>
      <c r="E103" s="25" t="n">
        <v>4307.82</v>
      </c>
      <c r="F103" s="21" t="inlineStr">
        <is>
          <t>Atrasado</t>
        </is>
      </c>
    </row>
    <row r="104" ht="18" customHeight="1">
      <c r="B104" s="18" t="n">
        <v>46150</v>
      </c>
      <c r="C104" s="11" t="inlineStr">
        <is>
          <t>Saída - Fornecedor Y</t>
        </is>
      </c>
      <c r="D104" s="13" t="inlineStr">
        <is>
          <t>Salário</t>
        </is>
      </c>
      <c r="E104" s="25" t="n">
        <v>2789.69</v>
      </c>
      <c r="F104" s="21" t="inlineStr">
        <is>
          <t>Pendente</t>
        </is>
      </c>
    </row>
    <row r="105" ht="18" customHeight="1">
      <c r="B105" s="18" t="n">
        <v>46154</v>
      </c>
      <c r="C105" s="11" t="inlineStr">
        <is>
          <t>Saída - Fornecedor Z</t>
        </is>
      </c>
      <c r="D105" s="13" t="inlineStr">
        <is>
          <t>Salário</t>
        </is>
      </c>
      <c r="E105" s="25" t="n">
        <v>3266.69</v>
      </c>
      <c r="F105" s="21" t="inlineStr">
        <is>
          <t>Pendente</t>
        </is>
      </c>
    </row>
    <row r="106" ht="18" customHeight="1">
      <c r="B106" s="18" t="n">
        <v>46156</v>
      </c>
      <c r="C106" s="11" t="inlineStr">
        <is>
          <t>Saída - Fornecedor X</t>
        </is>
      </c>
      <c r="D106" s="13" t="inlineStr">
        <is>
          <t>Imposto</t>
        </is>
      </c>
      <c r="E106" s="25" t="n">
        <v>4355.02</v>
      </c>
      <c r="F106" s="21" t="inlineStr">
        <is>
          <t>Pendente</t>
        </is>
      </c>
    </row>
    <row r="107" ht="18" customHeight="1">
      <c r="B107" s="18" t="n">
        <v>46167</v>
      </c>
      <c r="C107" s="11" t="inlineStr">
        <is>
          <t>Saída - Fornecedor Z</t>
        </is>
      </c>
      <c r="D107" s="13" t="inlineStr">
        <is>
          <t>Imposto</t>
        </is>
      </c>
      <c r="E107" s="25" t="n">
        <v>4333.04</v>
      </c>
      <c r="F107" s="21" t="inlineStr">
        <is>
          <t>Pendente</t>
        </is>
      </c>
    </row>
    <row r="108" ht="18" customHeight="1">
      <c r="B108" s="18" t="n">
        <v>46169</v>
      </c>
      <c r="C108" s="11" t="inlineStr">
        <is>
          <t>Saída - Fornecedor Z</t>
        </is>
      </c>
      <c r="D108" s="13" t="inlineStr">
        <is>
          <t>Fornecedor</t>
        </is>
      </c>
      <c r="E108" s="25" t="n">
        <v>2468.46</v>
      </c>
      <c r="F108" s="21" t="inlineStr">
        <is>
          <t>Atrasado</t>
        </is>
      </c>
    </row>
    <row r="109" ht="18" customHeight="1">
      <c r="B109" s="18" t="n">
        <v>46173</v>
      </c>
      <c r="C109" s="11" t="inlineStr">
        <is>
          <t>Saída - Fornecedor X</t>
        </is>
      </c>
      <c r="D109" s="13" t="inlineStr">
        <is>
          <t>Aluguel</t>
        </is>
      </c>
      <c r="E109" s="25" t="n">
        <v>4648.64</v>
      </c>
      <c r="F109" s="21" t="inlineStr">
        <is>
          <t>Atrasado</t>
        </is>
      </c>
    </row>
    <row r="110" ht="18" customHeight="1">
      <c r="B110" s="18" t="n">
        <v>46174</v>
      </c>
      <c r="C110" s="11" t="inlineStr">
        <is>
          <t>Saída - Fornecedor Y</t>
        </is>
      </c>
      <c r="D110" s="13" t="inlineStr">
        <is>
          <t>Marketing</t>
        </is>
      </c>
      <c r="E110" s="25" t="n">
        <v>2781.99</v>
      </c>
      <c r="F110" s="21" t="inlineStr">
        <is>
          <t>Pendente</t>
        </is>
      </c>
    </row>
    <row r="111" ht="18" customHeight="1">
      <c r="B111" s="18" t="n">
        <v>46179</v>
      </c>
      <c r="C111" s="11" t="inlineStr">
        <is>
          <t>Saída - Fornecedor Z</t>
        </is>
      </c>
      <c r="D111" s="13" t="inlineStr">
        <is>
          <t>Fornecedor</t>
        </is>
      </c>
      <c r="E111" s="25" t="n">
        <v>4584.56</v>
      </c>
      <c r="F111" s="21" t="inlineStr">
        <is>
          <t>Atrasado</t>
        </is>
      </c>
    </row>
    <row r="112" ht="18" customHeight="1">
      <c r="B112" s="18" t="n">
        <v>46182</v>
      </c>
      <c r="C112" s="11" t="inlineStr">
        <is>
          <t>Saída - Fornecedor Y</t>
        </is>
      </c>
      <c r="D112" s="13" t="inlineStr">
        <is>
          <t>Imposto</t>
        </is>
      </c>
      <c r="E112" s="25" t="n">
        <v>4636.26</v>
      </c>
      <c r="F112" s="21" t="inlineStr">
        <is>
          <t>Atrasado</t>
        </is>
      </c>
    </row>
    <row r="113" ht="18" customHeight="1">
      <c r="B113" s="18" t="n">
        <v>46183</v>
      </c>
      <c r="C113" s="11" t="inlineStr">
        <is>
          <t>Saída - Fornecedor Y</t>
        </is>
      </c>
      <c r="D113" s="13" t="inlineStr">
        <is>
          <t>Imposto</t>
        </is>
      </c>
      <c r="E113" s="25" t="n">
        <v>1667.89</v>
      </c>
      <c r="F113" s="21" t="inlineStr">
        <is>
          <t>Pendente</t>
        </is>
      </c>
    </row>
    <row r="114" ht="18" customHeight="1">
      <c r="B114" s="18" t="n">
        <v>46185</v>
      </c>
      <c r="C114" s="11" t="inlineStr">
        <is>
          <t>Saída - Fornecedor Y</t>
        </is>
      </c>
      <c r="D114" s="13" t="inlineStr">
        <is>
          <t>Fornecedor</t>
        </is>
      </c>
      <c r="E114" s="25" t="n">
        <v>3367.16</v>
      </c>
      <c r="F114" s="21" t="inlineStr">
        <is>
          <t>Atrasado</t>
        </is>
      </c>
    </row>
    <row r="115" ht="18" customHeight="1">
      <c r="B115" s="18" t="n">
        <v>46186</v>
      </c>
      <c r="C115" s="11" t="inlineStr">
        <is>
          <t>Saída - Fornecedor Y</t>
        </is>
      </c>
      <c r="D115" s="13" t="inlineStr">
        <is>
          <t>Imposto</t>
        </is>
      </c>
      <c r="E115" s="25" t="n">
        <v>4846.82</v>
      </c>
      <c r="F115" s="21" t="inlineStr">
        <is>
          <t>Pendente</t>
        </is>
      </c>
    </row>
    <row r="116" ht="18" customHeight="1">
      <c r="B116" s="18" t="n">
        <v>46188</v>
      </c>
      <c r="C116" s="11" t="inlineStr">
        <is>
          <t>Saída - Fornecedor Z</t>
        </is>
      </c>
      <c r="D116" s="13" t="inlineStr">
        <is>
          <t>Imposto</t>
        </is>
      </c>
      <c r="E116" s="25" t="n">
        <v>3747.72</v>
      </c>
      <c r="F116" s="21" t="inlineStr">
        <is>
          <t>Pendente</t>
        </is>
      </c>
    </row>
    <row r="117" ht="18" customHeight="1">
      <c r="B117" s="18" t="n">
        <v>46191</v>
      </c>
      <c r="C117" s="11" t="inlineStr">
        <is>
          <t>Saída - Fornecedor Y</t>
        </is>
      </c>
      <c r="D117" s="13" t="inlineStr">
        <is>
          <t>Fornecedor</t>
        </is>
      </c>
      <c r="E117" s="25" t="n">
        <v>2108.08</v>
      </c>
      <c r="F117" s="21" t="inlineStr">
        <is>
          <t>Atrasado</t>
        </is>
      </c>
    </row>
    <row r="118" ht="18" customHeight="1">
      <c r="B118" s="18" t="n">
        <v>46193</v>
      </c>
      <c r="C118" s="11" t="inlineStr">
        <is>
          <t>Saída - Fornecedor X</t>
        </is>
      </c>
      <c r="D118" s="13" t="inlineStr">
        <is>
          <t>Fornecedor</t>
        </is>
      </c>
      <c r="E118" s="25" t="n">
        <v>4926.85</v>
      </c>
      <c r="F118" s="21" t="inlineStr">
        <is>
          <t>Pendente</t>
        </is>
      </c>
    </row>
    <row r="119" ht="18" customHeight="1">
      <c r="B119" s="18" t="n">
        <v>46209</v>
      </c>
      <c r="C119" s="11" t="inlineStr">
        <is>
          <t>Saída - Fornecedor Z</t>
        </is>
      </c>
      <c r="D119" s="13" t="inlineStr">
        <is>
          <t>Marketing</t>
        </is>
      </c>
      <c r="E119" s="25" t="n">
        <v>3354.51</v>
      </c>
      <c r="F119" s="21" t="inlineStr">
        <is>
          <t>Pendente</t>
        </is>
      </c>
    </row>
    <row r="120" ht="18" customHeight="1">
      <c r="B120" s="18" t="n">
        <v>46213</v>
      </c>
      <c r="C120" s="11" t="inlineStr">
        <is>
          <t>Saída - Fornecedor Z</t>
        </is>
      </c>
      <c r="D120" s="13" t="inlineStr">
        <is>
          <t>Marketing</t>
        </is>
      </c>
      <c r="E120" s="25" t="n">
        <v>830.85</v>
      </c>
      <c r="F120" s="21" t="inlineStr">
        <is>
          <t>Atrasado</t>
        </is>
      </c>
    </row>
    <row r="121" ht="18" customHeight="1">
      <c r="B121" s="18" t="n">
        <v>46214</v>
      </c>
      <c r="C121" s="11" t="inlineStr">
        <is>
          <t>Saída - Fornecedor Z</t>
        </is>
      </c>
      <c r="D121" s="13" t="inlineStr">
        <is>
          <t>Manutenção</t>
        </is>
      </c>
      <c r="E121" s="25" t="n">
        <v>2009.14</v>
      </c>
      <c r="F121" s="21" t="inlineStr">
        <is>
          <t>Pendente</t>
        </is>
      </c>
    </row>
    <row r="122" ht="18" customHeight="1">
      <c r="B122" s="18" t="n">
        <v>46214</v>
      </c>
      <c r="C122" s="11" t="inlineStr">
        <is>
          <t>Saída - Fornecedor Z</t>
        </is>
      </c>
      <c r="D122" s="13" t="inlineStr">
        <is>
          <t>Salário</t>
        </is>
      </c>
      <c r="E122" s="25" t="n">
        <v>4111.72</v>
      </c>
      <c r="F122" s="21" t="inlineStr">
        <is>
          <t>Atrasado</t>
        </is>
      </c>
    </row>
    <row r="123" ht="18" customHeight="1">
      <c r="B123" s="18" t="n">
        <v>46214</v>
      </c>
      <c r="C123" s="11" t="inlineStr">
        <is>
          <t>Saída - Fornecedor Z</t>
        </is>
      </c>
      <c r="D123" s="13" t="inlineStr">
        <is>
          <t>Aluguel</t>
        </is>
      </c>
      <c r="E123" s="25" t="n">
        <v>3333.77</v>
      </c>
      <c r="F123" s="21" t="inlineStr">
        <is>
          <t>Atrasado</t>
        </is>
      </c>
    </row>
    <row r="124" ht="18" customHeight="1">
      <c r="B124" s="18" t="n">
        <v>46215</v>
      </c>
      <c r="C124" s="11" t="inlineStr">
        <is>
          <t>Saída - Fornecedor X</t>
        </is>
      </c>
      <c r="D124" s="13" t="inlineStr">
        <is>
          <t>Salário</t>
        </is>
      </c>
      <c r="E124" s="25" t="n">
        <v>3854.56</v>
      </c>
      <c r="F124" s="21" t="inlineStr">
        <is>
          <t>Pendente</t>
        </is>
      </c>
    </row>
    <row r="125" ht="18" customHeight="1">
      <c r="B125" s="18" t="n">
        <v>46216</v>
      </c>
      <c r="C125" s="11" t="inlineStr">
        <is>
          <t>Saída - Fornecedor Z</t>
        </is>
      </c>
      <c r="D125" s="13" t="inlineStr">
        <is>
          <t>Aluguel</t>
        </is>
      </c>
      <c r="E125" s="25" t="n">
        <v>275.3</v>
      </c>
      <c r="F125" s="21" t="inlineStr">
        <is>
          <t>Atrasado</t>
        </is>
      </c>
    </row>
    <row r="126" ht="18" customHeight="1">
      <c r="B126" s="18" t="n">
        <v>46220</v>
      </c>
      <c r="C126" s="11" t="inlineStr">
        <is>
          <t>Saída - Fornecedor Z</t>
        </is>
      </c>
      <c r="D126" s="13" t="inlineStr">
        <is>
          <t>Fornecedor</t>
        </is>
      </c>
      <c r="E126" s="25" t="n">
        <v>2277.85</v>
      </c>
      <c r="F126" s="21" t="inlineStr">
        <is>
          <t>Atrasado</t>
        </is>
      </c>
    </row>
    <row r="127" ht="18" customHeight="1">
      <c r="B127" s="18" t="n">
        <v>46222</v>
      </c>
      <c r="C127" s="11" t="inlineStr">
        <is>
          <t>Saída - Fornecedor Z</t>
        </is>
      </c>
      <c r="D127" s="13" t="inlineStr">
        <is>
          <t>Manutenção</t>
        </is>
      </c>
      <c r="E127" s="25" t="n">
        <v>2351.13</v>
      </c>
      <c r="F127" s="21" t="inlineStr">
        <is>
          <t>Pendente</t>
        </is>
      </c>
    </row>
    <row r="128" ht="18" customHeight="1">
      <c r="B128" s="18" t="n">
        <v>46226</v>
      </c>
      <c r="C128" s="11" t="inlineStr">
        <is>
          <t>Saída - Fornecedor Z</t>
        </is>
      </c>
      <c r="D128" s="13" t="inlineStr">
        <is>
          <t>Imposto</t>
        </is>
      </c>
      <c r="E128" s="25" t="n">
        <v>1939.02</v>
      </c>
      <c r="F128" s="21" t="inlineStr">
        <is>
          <t>Atrasado</t>
        </is>
      </c>
    </row>
    <row r="129" ht="18" customHeight="1">
      <c r="B129" s="18" t="n">
        <v>46227</v>
      </c>
      <c r="C129" s="11" t="inlineStr">
        <is>
          <t>Saída - Fornecedor Z</t>
        </is>
      </c>
      <c r="D129" s="13" t="inlineStr">
        <is>
          <t>Imposto</t>
        </is>
      </c>
      <c r="E129" s="25" t="n">
        <v>3922.81</v>
      </c>
      <c r="F129" s="21" t="inlineStr">
        <is>
          <t>Pendente</t>
        </is>
      </c>
    </row>
    <row r="130" ht="18" customHeight="1">
      <c r="B130" s="18" t="n">
        <v>46228</v>
      </c>
      <c r="C130" s="11" t="inlineStr">
        <is>
          <t>Saída - Fornecedor Y</t>
        </is>
      </c>
      <c r="D130" s="13" t="inlineStr">
        <is>
          <t>Imposto</t>
        </is>
      </c>
      <c r="E130" s="25" t="n">
        <v>2106.68</v>
      </c>
      <c r="F130" s="21" t="inlineStr">
        <is>
          <t>Pendente</t>
        </is>
      </c>
    </row>
    <row r="131" ht="18" customHeight="1">
      <c r="B131" s="18" t="n">
        <v>46231</v>
      </c>
      <c r="C131" s="11" t="inlineStr">
        <is>
          <t>Saída - Fornecedor X</t>
        </is>
      </c>
      <c r="D131" s="13" t="inlineStr">
        <is>
          <t>Aluguel</t>
        </is>
      </c>
      <c r="E131" s="25" t="n">
        <v>207.32</v>
      </c>
      <c r="F131" s="21" t="inlineStr">
        <is>
          <t>Atrasado</t>
        </is>
      </c>
    </row>
    <row r="132" ht="18" customHeight="1">
      <c r="B132" s="18" t="n">
        <v>46232</v>
      </c>
      <c r="C132" s="11" t="inlineStr">
        <is>
          <t>Saída - Fornecedor Y</t>
        </is>
      </c>
      <c r="D132" s="13" t="inlineStr">
        <is>
          <t>Fornecedor</t>
        </is>
      </c>
      <c r="E132" s="25" t="n">
        <v>4903.53</v>
      </c>
      <c r="F132" s="21" t="inlineStr">
        <is>
          <t>Pendente</t>
        </is>
      </c>
    </row>
    <row r="133" ht="18" customHeight="1">
      <c r="B133" s="18" t="n">
        <v>46236</v>
      </c>
      <c r="C133" s="11" t="inlineStr">
        <is>
          <t>Saída - Fornecedor Y</t>
        </is>
      </c>
      <c r="D133" s="13" t="inlineStr">
        <is>
          <t>Marketing</t>
        </is>
      </c>
      <c r="E133" s="25" t="n">
        <v>2661.99</v>
      </c>
      <c r="F133" s="21" t="inlineStr">
        <is>
          <t>Atrasado</t>
        </is>
      </c>
    </row>
    <row r="134" ht="18" customHeight="1">
      <c r="B134" s="18" t="n">
        <v>46236</v>
      </c>
      <c r="C134" s="11" t="inlineStr">
        <is>
          <t>Saída - Fornecedor Z</t>
        </is>
      </c>
      <c r="D134" s="13" t="inlineStr">
        <is>
          <t>Imposto</t>
        </is>
      </c>
      <c r="E134" s="25" t="n">
        <v>2351.69</v>
      </c>
      <c r="F134" s="21" t="inlineStr">
        <is>
          <t>Atrasado</t>
        </is>
      </c>
    </row>
    <row r="135" ht="18" customHeight="1">
      <c r="B135" s="18" t="n">
        <v>46241</v>
      </c>
      <c r="C135" s="11" t="inlineStr">
        <is>
          <t>Saída - Fornecedor Z</t>
        </is>
      </c>
      <c r="D135" s="13" t="inlineStr">
        <is>
          <t>Manutenção</t>
        </is>
      </c>
      <c r="E135" s="25" t="n">
        <v>2101.48</v>
      </c>
      <c r="F135" s="21" t="inlineStr">
        <is>
          <t>Atrasado</t>
        </is>
      </c>
    </row>
    <row r="136" ht="18" customHeight="1">
      <c r="B136" s="18" t="n">
        <v>46244</v>
      </c>
      <c r="C136" s="11" t="inlineStr">
        <is>
          <t>Saída - Fornecedor Y</t>
        </is>
      </c>
      <c r="D136" s="13" t="inlineStr">
        <is>
          <t>Imposto</t>
        </is>
      </c>
      <c r="E136" s="25" t="n">
        <v>1715.16</v>
      </c>
      <c r="F136" s="21" t="inlineStr">
        <is>
          <t>Pendente</t>
        </is>
      </c>
    </row>
    <row r="137" ht="18" customHeight="1">
      <c r="B137" s="18" t="n">
        <v>46250</v>
      </c>
      <c r="C137" s="11" t="inlineStr">
        <is>
          <t>Saída - Fornecedor Y</t>
        </is>
      </c>
      <c r="D137" s="13" t="inlineStr">
        <is>
          <t>Marketing</t>
        </is>
      </c>
      <c r="E137" s="25" t="n">
        <v>4161.32</v>
      </c>
      <c r="F137" s="21" t="inlineStr">
        <is>
          <t>Atrasado</t>
        </is>
      </c>
    </row>
    <row r="138" ht="18" customHeight="1">
      <c r="B138" s="18" t="n">
        <v>46251</v>
      </c>
      <c r="C138" s="11" t="inlineStr">
        <is>
          <t>Saída - Fornecedor Z</t>
        </is>
      </c>
      <c r="D138" s="13" t="inlineStr">
        <is>
          <t>Imposto</t>
        </is>
      </c>
      <c r="E138" s="25" t="n">
        <v>3196.15</v>
      </c>
      <c r="F138" s="21" t="inlineStr">
        <is>
          <t>Pendente</t>
        </is>
      </c>
    </row>
    <row r="139" ht="18" customHeight="1">
      <c r="B139" s="18" t="n">
        <v>46260</v>
      </c>
      <c r="C139" s="11" t="inlineStr">
        <is>
          <t>Saída - Fornecedor Y</t>
        </is>
      </c>
      <c r="D139" s="13" t="inlineStr">
        <is>
          <t>Aluguel</t>
        </is>
      </c>
      <c r="E139" s="25" t="n">
        <v>511.39</v>
      </c>
      <c r="F139" s="21" t="inlineStr">
        <is>
          <t>Atrasado</t>
        </is>
      </c>
    </row>
    <row r="140" ht="18" customHeight="1">
      <c r="B140" s="18" t="n">
        <v>46263</v>
      </c>
      <c r="C140" s="11" t="inlineStr">
        <is>
          <t>Saída - Fornecedor X</t>
        </is>
      </c>
      <c r="D140" s="13" t="inlineStr">
        <is>
          <t>Salário</t>
        </is>
      </c>
      <c r="E140" s="25" t="n">
        <v>933.91</v>
      </c>
      <c r="F140" s="21" t="inlineStr">
        <is>
          <t>Atrasado</t>
        </is>
      </c>
    </row>
    <row r="141" ht="18" customHeight="1">
      <c r="B141" s="18" t="n">
        <v>46267</v>
      </c>
      <c r="C141" s="11" t="inlineStr">
        <is>
          <t>Saída - Fornecedor X</t>
        </is>
      </c>
      <c r="D141" s="13" t="inlineStr">
        <is>
          <t>Salário</t>
        </is>
      </c>
      <c r="E141" s="25" t="n">
        <v>2551.77</v>
      </c>
      <c r="F141" s="21" t="inlineStr">
        <is>
          <t>Atrasado</t>
        </is>
      </c>
    </row>
    <row r="142" ht="18" customHeight="1">
      <c r="B142" s="18" t="n">
        <v>46270</v>
      </c>
      <c r="C142" s="11" t="inlineStr">
        <is>
          <t>Saída - Fornecedor Y</t>
        </is>
      </c>
      <c r="D142" s="13" t="inlineStr">
        <is>
          <t>Imposto</t>
        </is>
      </c>
      <c r="E142" s="25" t="n">
        <v>2527.34</v>
      </c>
      <c r="F142" s="21" t="inlineStr">
        <is>
          <t>Atrasado</t>
        </is>
      </c>
    </row>
    <row r="143" ht="18" customHeight="1">
      <c r="B143" s="18" t="n">
        <v>46271</v>
      </c>
      <c r="C143" s="11" t="inlineStr">
        <is>
          <t>Saída - Fornecedor Y</t>
        </is>
      </c>
      <c r="D143" s="13" t="inlineStr">
        <is>
          <t>Salário</t>
        </is>
      </c>
      <c r="E143" s="25" t="n">
        <v>3152.4</v>
      </c>
      <c r="F143" s="21" t="inlineStr">
        <is>
          <t>Atrasado</t>
        </is>
      </c>
    </row>
    <row r="144" ht="18" customHeight="1">
      <c r="B144" s="18" t="n">
        <v>46271</v>
      </c>
      <c r="C144" s="11" t="inlineStr">
        <is>
          <t>Saída - Fornecedor X</t>
        </is>
      </c>
      <c r="D144" s="13" t="inlineStr">
        <is>
          <t>Imposto</t>
        </is>
      </c>
      <c r="E144" s="25" t="n">
        <v>958.27</v>
      </c>
      <c r="F144" s="21" t="inlineStr">
        <is>
          <t>Pendente</t>
        </is>
      </c>
    </row>
    <row r="145" ht="18" customHeight="1">
      <c r="B145" s="18" t="n">
        <v>46272</v>
      </c>
      <c r="C145" s="11" t="inlineStr">
        <is>
          <t>Saída - Fornecedor Y</t>
        </is>
      </c>
      <c r="D145" s="13" t="inlineStr">
        <is>
          <t>Manutenção</t>
        </is>
      </c>
      <c r="E145" s="25" t="n">
        <v>3549.43</v>
      </c>
      <c r="F145" s="21" t="inlineStr">
        <is>
          <t>Atrasado</t>
        </is>
      </c>
    </row>
    <row r="146" ht="18" customHeight="1">
      <c r="B146" s="18" t="n">
        <v>46274</v>
      </c>
      <c r="C146" s="11" t="inlineStr">
        <is>
          <t>Saída - Fornecedor X</t>
        </is>
      </c>
      <c r="D146" s="13" t="inlineStr">
        <is>
          <t>Imposto</t>
        </is>
      </c>
      <c r="E146" s="25" t="n">
        <v>4708.26</v>
      </c>
      <c r="F146" s="21" t="inlineStr">
        <is>
          <t>Pendente</t>
        </is>
      </c>
    </row>
    <row r="147" ht="18" customHeight="1">
      <c r="B147" s="18" t="n">
        <v>46276</v>
      </c>
      <c r="C147" s="11" t="inlineStr">
        <is>
          <t>Saída - Fornecedor X</t>
        </is>
      </c>
      <c r="D147" s="13" t="inlineStr">
        <is>
          <t>Salário</t>
        </is>
      </c>
      <c r="E147" s="25" t="n">
        <v>816.24</v>
      </c>
      <c r="F147" s="21" t="inlineStr">
        <is>
          <t>Atrasado</t>
        </is>
      </c>
    </row>
    <row r="148" ht="18" customHeight="1">
      <c r="B148" s="18" t="n">
        <v>46276</v>
      </c>
      <c r="C148" s="11" t="inlineStr">
        <is>
          <t>Saída - Fornecedor X</t>
        </is>
      </c>
      <c r="D148" s="13" t="inlineStr">
        <is>
          <t>Marketing</t>
        </is>
      </c>
      <c r="E148" s="25" t="n">
        <v>2539.11</v>
      </c>
      <c r="F148" s="21" t="inlineStr">
        <is>
          <t>Atrasado</t>
        </is>
      </c>
    </row>
    <row r="149" ht="18" customHeight="1">
      <c r="B149" s="18" t="n">
        <v>46280</v>
      </c>
      <c r="C149" s="11" t="inlineStr">
        <is>
          <t>Saída - Fornecedor Y</t>
        </is>
      </c>
      <c r="D149" s="13" t="inlineStr">
        <is>
          <t>Salário</t>
        </is>
      </c>
      <c r="E149" s="25" t="n">
        <v>680.86</v>
      </c>
      <c r="F149" s="21" t="inlineStr">
        <is>
          <t>Pendente</t>
        </is>
      </c>
    </row>
    <row r="150" ht="18" customHeight="1">
      <c r="B150" s="18" t="n">
        <v>46281</v>
      </c>
      <c r="C150" s="11" t="inlineStr">
        <is>
          <t>Saída - Fornecedor Z</t>
        </is>
      </c>
      <c r="D150" s="13" t="inlineStr">
        <is>
          <t>Imposto</t>
        </is>
      </c>
      <c r="E150" s="25" t="n">
        <v>3152.66</v>
      </c>
      <c r="F150" s="21" t="inlineStr">
        <is>
          <t>Atrasado</t>
        </is>
      </c>
    </row>
    <row r="151" ht="18" customHeight="1">
      <c r="B151" s="18" t="n">
        <v>46290</v>
      </c>
      <c r="C151" s="11" t="inlineStr">
        <is>
          <t>Saída - Fornecedor Y</t>
        </is>
      </c>
      <c r="D151" s="13" t="inlineStr">
        <is>
          <t>Fornecedor</t>
        </is>
      </c>
      <c r="E151" s="25" t="n">
        <v>4517.09</v>
      </c>
      <c r="F151" s="21" t="inlineStr">
        <is>
          <t>Pendente</t>
        </is>
      </c>
    </row>
  </sheetData>
  <mergeCells count="4">
    <mergeCell ref="B6:C6"/>
    <mergeCell ref="B5:C5"/>
    <mergeCell ref="B4:C4"/>
    <mergeCell ref="B7:C7"/>
  </mergeCells>
  <conditionalFormatting sqref="F7">
    <cfRule type="cellIs" priority="1" operator="lessThan" dxfId="5">
      <formula>0</formula>
    </cfRule>
    <cfRule type="cellIs" priority="2" operator="greaterThanOrEqual" dxfId="6">
      <formula>0</formula>
    </cfRule>
  </conditionalFormatting>
  <conditionalFormatting sqref="F12:F83">
    <cfRule type="cellIs" priority="3" operator="equal" dxfId="0">
      <formula>"Pago"</formula>
    </cfRule>
    <cfRule type="cellIs" priority="4" operator="equal" dxfId="1">
      <formula>"Pendente"</formula>
    </cfRule>
    <cfRule type="cellIs" priority="5" operator="equal" dxfId="2">
      <formula>"Atrasado"</formula>
    </cfRule>
  </conditionalFormatting>
  <conditionalFormatting sqref="F88:F151">
    <cfRule type="cellIs" priority="6" operator="equal" dxfId="0">
      <formula>"Pago"</formula>
    </cfRule>
    <cfRule type="cellIs" priority="7" operator="equal" dxfId="1">
      <formula>"Pendente"</formula>
    </cfRule>
    <cfRule type="cellIs" priority="8" operator="equal" dxfId="2">
      <formula>"Atrasado"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K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" customWidth="1" min="4" max="4"/>
  </cols>
  <sheetData>
    <row r="1" ht="28" customHeight="1">
      <c r="B1" s="1" t="inlineStr">
        <is>
          <t>DRE simplificado</t>
        </is>
      </c>
    </row>
    <row r="2" ht="18" customHeight="1">
      <c r="B2" s="2" t="inlineStr">
        <is>
          <t>Demonstrativo de resultado · regime de competência: todas as transações lançadas, pagas ou não</t>
        </is>
      </c>
    </row>
    <row r="3" ht="10" customHeight="1"/>
    <row r="4" ht="22" customHeight="1">
      <c r="B4" s="37" t="inlineStr">
        <is>
          <t>Receita bruta (entradas)</t>
        </is>
      </c>
      <c r="C4" s="38">
        <f>SUMIFS(Dados!$F$5:$F$204,Dados!$E$5:$E$204,"Entrada")</f>
        <v>305963.76</v>
      </c>
      <c r="E4" s="9" t="inlineStr">
        <is>
          <t>Despesas por categoria</t>
        </is>
      </c>
      <c r="F4" s="10" t="n"/>
      <c r="G4" s="10" t="n"/>
      <c r="H4" s="10" t="n"/>
      <c r="I4" s="10" t="n"/>
      <c r="J4" s="10" t="n"/>
      <c r="K4" s="10" t="n"/>
    </row>
    <row r="5" ht="22" customHeight="1">
      <c r="B5" s="39" t="inlineStr">
        <is>
          <t>Despesas operacionais</t>
        </is>
      </c>
    </row>
    <row r="6" ht="19" customHeight="1">
      <c r="B6" s="40" t="inlineStr">
        <is>
          <t>Aluguel</t>
        </is>
      </c>
      <c r="C6" s="20">
        <f>SUMIFS(Dados!$F$5:$F$204,Dados!$E$5:$E$204,"Saída",Dados!$D$5:$D$204,"Aluguel")</f>
        <v>26246.34</v>
      </c>
    </row>
    <row r="7" ht="19" customHeight="1">
      <c r="B7" s="40" t="inlineStr">
        <is>
          <t>Fornecedor</t>
        </is>
      </c>
      <c r="C7" s="20">
        <f>SUMIFS(Dados!$F$5:$F$204,Dados!$E$5:$E$204,"Saída",Dados!$D$5:$D$204,"Fornecedor")</f>
        <v>46762.05</v>
      </c>
    </row>
    <row r="8" ht="19" customHeight="1">
      <c r="B8" s="40" t="inlineStr">
        <is>
          <t>Imposto</t>
        </is>
      </c>
      <c r="C8" s="20">
        <f>SUMIFS(Dados!$F$5:$F$204,Dados!$E$5:$E$204,"Saída",Dados!$D$5:$D$204,"Imposto")</f>
        <v>68429.45</v>
      </c>
    </row>
    <row r="9" ht="19" customHeight="1">
      <c r="B9" s="40" t="inlineStr">
        <is>
          <t>Manutenção</t>
        </is>
      </c>
      <c r="C9" s="20">
        <f>SUMIFS(Dados!$F$5:$F$204,Dados!$E$5:$E$204,"Saída",Dados!$D$5:$D$204,"Manutenção")</f>
        <v>28808.36</v>
      </c>
    </row>
    <row r="10" ht="19" customHeight="1">
      <c r="B10" s="40" t="inlineStr">
        <is>
          <t>Marketing</t>
        </is>
      </c>
      <c r="C10" s="20">
        <f>SUMIFS(Dados!$F$5:$F$204,Dados!$E$5:$E$204,"Saída",Dados!$D$5:$D$204,"Marketing")</f>
        <v>25904.33</v>
      </c>
    </row>
    <row r="11" ht="19" customHeight="1">
      <c r="B11" s="40" t="inlineStr">
        <is>
          <t>Salário</t>
        </is>
      </c>
      <c r="C11" s="20">
        <f>SUMIFS(Dados!$F$5:$F$204,Dados!$E$5:$E$204,"Saída",Dados!$D$5:$D$204,"Salário")</f>
        <v>47849.25</v>
      </c>
    </row>
    <row r="12" ht="22" customHeight="1">
      <c r="B12" s="11" t="inlineStr">
        <is>
          <t>Total de despesas</t>
        </is>
      </c>
      <c r="C12" s="34">
        <f>SUM(C6:C11)</f>
        <v>243999.78</v>
      </c>
    </row>
    <row r="14" ht="26" customHeight="1">
      <c r="B14" s="41" t="inlineStr">
        <is>
          <t>Resultado líquido</t>
        </is>
      </c>
      <c r="C14" s="42">
        <f>C4-C12</f>
        <v>61963.98</v>
      </c>
    </row>
    <row r="15">
      <c r="B15" s="43" t="inlineStr">
        <is>
          <t>Margem líquida</t>
        </is>
      </c>
      <c r="C15" s="44">
        <f>C14/C4</f>
        <v>0.2025206515</v>
      </c>
    </row>
  </sheetData>
  <conditionalFormatting sqref="C14">
    <cfRule type="cellIs" priority="1" operator="lessThan" dxfId="7">
      <formula>0</formula>
    </cfRule>
    <cfRule type="cellIs" priority="2" operator="greaterThanOrEqual" dxfId="8">
      <formula>0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